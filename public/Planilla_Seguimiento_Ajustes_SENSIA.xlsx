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guimiento de Ajust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istas" sheetId="3" state="visible" r:id="rId3"/>
  </sheets>
  <definedNames>
    <definedName name="_xlnm._FilterDatabase" localSheetId="0" hidden="1">'Seguimiento de Ajustes'!$A$1:$K$101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1F4E78"/>
      <sz val="16"/>
    </font>
    <font>
      <name val="Calibri"/>
      <color theme="1"/>
      <scheme val="minor"/>
    </font>
    <font>
      <name val="Calibri"/>
      <b val="1"/>
      <color rgb="FF1F4E78"/>
      <sz val="11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 style="thin">
        <color rgb="FFD9E1F2"/>
      </bottom>
    </border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1" min="1" max="1"/>
    <col width="18" customWidth="1" style="11" min="2" max="2"/>
    <col width="20" customWidth="1" style="11" min="3" max="3"/>
    <col width="22" customWidth="1" style="11" min="4" max="4"/>
    <col width="48" customWidth="1" style="11" min="5" max="5"/>
    <col width="14" customWidth="1" style="11" min="6" max="6"/>
    <col width="20" customWidth="1" style="11" min="7" max="7"/>
    <col width="16" customWidth="1" style="11" min="8" max="8"/>
    <col width="18" customWidth="1" style="11" min="9" max="9"/>
    <col width="48" customWidth="1" style="11" min="10" max="10"/>
    <col width="40" customWidth="1" style="11" min="11" max="11"/>
    <col width="8.859999999999999" customWidth="1" style="11" min="12" max="25"/>
  </cols>
  <sheetData>
    <row r="1" ht="14.25" customHeight="1" s="11">
      <c r="A1" s="1" t="inlineStr">
        <is>
          <t>ID</t>
        </is>
      </c>
      <c r="B1" s="1" t="inlineStr">
        <is>
          <t>Fecha de solicitud</t>
        </is>
      </c>
      <c r="C1" s="1" t="inlineStr">
        <is>
          <t>Solicitado por</t>
        </is>
      </c>
      <c r="D1" s="1" t="inlineStr">
        <is>
          <t>Tipo de ajuste</t>
        </is>
      </c>
      <c r="E1" s="1" t="inlineStr">
        <is>
          <t>Detalle del ajuste solicitado</t>
        </is>
      </c>
      <c r="F1" s="1" t="inlineStr">
        <is>
          <t>Prioridad</t>
        </is>
      </c>
      <c r="G1" s="1" t="inlineStr">
        <is>
          <t>Responsable</t>
        </is>
      </c>
      <c r="H1" s="1" t="inlineStr">
        <is>
          <t>Estado</t>
        </is>
      </c>
      <c r="I1" s="1" t="inlineStr">
        <is>
          <t>Fecha realizado</t>
        </is>
      </c>
      <c r="J1" s="1" t="inlineStr">
        <is>
          <t>Detalle de ajuste realizado</t>
        </is>
      </c>
      <c r="K1" s="1" t="inlineStr">
        <is>
          <t>Observaciones</t>
        </is>
      </c>
    </row>
    <row r="2" ht="14.25" customHeight="1" s="11">
      <c r="A2" s="12" t="n">
        <v>1</v>
      </c>
      <c r="B2" s="4" t="n"/>
      <c r="C2" s="12" t="n"/>
      <c r="D2" s="12" t="n"/>
      <c r="E2" s="12" t="n"/>
      <c r="F2" s="12" t="n"/>
      <c r="G2" s="12" t="n"/>
      <c r="H2" s="12" t="n"/>
      <c r="I2" s="4" t="n"/>
      <c r="J2" s="12" t="n"/>
      <c r="K2" s="12" t="n"/>
    </row>
    <row r="3" ht="14.25" customHeight="1" s="11">
      <c r="A3" s="12" t="n">
        <v>2</v>
      </c>
      <c r="B3" s="4" t="n"/>
      <c r="C3" s="12" t="n"/>
      <c r="D3" s="12" t="n"/>
      <c r="E3" s="12" t="n"/>
      <c r="F3" s="12" t="n"/>
      <c r="G3" s="12" t="n"/>
      <c r="H3" s="12" t="n"/>
      <c r="I3" s="4" t="n"/>
      <c r="J3" s="12" t="n"/>
      <c r="K3" s="12" t="n"/>
    </row>
    <row r="4" ht="14.25" customHeight="1" s="11">
      <c r="A4" s="12" t="n">
        <v>3</v>
      </c>
      <c r="B4" s="4" t="n"/>
      <c r="C4" s="12" t="n"/>
      <c r="D4" s="12" t="n"/>
      <c r="E4" s="12" t="n"/>
      <c r="F4" s="12" t="n"/>
      <c r="G4" s="12" t="n"/>
      <c r="H4" s="12" t="n"/>
      <c r="I4" s="4" t="n"/>
      <c r="J4" s="12" t="n"/>
      <c r="K4" s="12" t="n"/>
    </row>
    <row r="5" ht="14.25" customHeight="1" s="11">
      <c r="A5" s="12" t="n">
        <v>4</v>
      </c>
      <c r="B5" s="4" t="n"/>
      <c r="C5" s="12" t="n"/>
      <c r="D5" s="12" t="n"/>
      <c r="E5" s="12" t="n"/>
      <c r="F5" s="12" t="n"/>
      <c r="G5" s="12" t="n"/>
      <c r="H5" s="12" t="n"/>
      <c r="I5" s="4" t="n"/>
      <c r="J5" s="12" t="n"/>
      <c r="K5" s="12" t="n"/>
    </row>
    <row r="6" ht="14.25" customHeight="1" s="11">
      <c r="A6" s="12" t="n">
        <v>5</v>
      </c>
      <c r="B6" s="4" t="n"/>
      <c r="C6" s="12" t="n"/>
      <c r="D6" s="12" t="n"/>
      <c r="E6" s="12" t="n"/>
      <c r="F6" s="12" t="n"/>
      <c r="G6" s="12" t="n"/>
      <c r="H6" s="12" t="n"/>
      <c r="I6" s="4" t="n"/>
      <c r="J6" s="12" t="n"/>
      <c r="K6" s="12" t="n"/>
    </row>
    <row r="7" ht="14.25" customHeight="1" s="11">
      <c r="A7" s="12" t="n">
        <v>6</v>
      </c>
      <c r="B7" s="4" t="n"/>
      <c r="C7" s="12" t="n"/>
      <c r="D7" s="12" t="n"/>
      <c r="E7" s="12" t="n"/>
      <c r="F7" s="12" t="n"/>
      <c r="G7" s="12" t="n"/>
      <c r="H7" s="12" t="n"/>
      <c r="I7" s="4" t="n"/>
      <c r="J7" s="12" t="n"/>
      <c r="K7" s="12" t="n"/>
    </row>
    <row r="8" ht="14.25" customHeight="1" s="11">
      <c r="A8" s="12" t="n">
        <v>7</v>
      </c>
      <c r="B8" s="4" t="n"/>
      <c r="C8" s="12" t="n"/>
      <c r="D8" s="12" t="n"/>
      <c r="E8" s="12" t="n"/>
      <c r="F8" s="12" t="n"/>
      <c r="G8" s="12" t="n"/>
      <c r="H8" s="12" t="n"/>
      <c r="I8" s="4" t="n"/>
      <c r="J8" s="12" t="n"/>
      <c r="K8" s="12" t="n"/>
    </row>
    <row r="9" ht="14.25" customHeight="1" s="11">
      <c r="A9" s="12" t="n">
        <v>8</v>
      </c>
      <c r="B9" s="4" t="n"/>
      <c r="C9" s="12" t="n"/>
      <c r="D9" s="12" t="n"/>
      <c r="E9" s="12" t="n"/>
      <c r="F9" s="12" t="n"/>
      <c r="G9" s="12" t="n"/>
      <c r="H9" s="12" t="n"/>
      <c r="I9" s="4" t="n"/>
      <c r="J9" s="12" t="n"/>
      <c r="K9" s="12" t="n"/>
    </row>
    <row r="10" ht="14.25" customHeight="1" s="11">
      <c r="A10" s="12" t="n">
        <v>9</v>
      </c>
      <c r="B10" s="4" t="n"/>
      <c r="C10" s="12" t="n"/>
      <c r="D10" s="12" t="n"/>
      <c r="E10" s="12" t="n"/>
      <c r="F10" s="12" t="n"/>
      <c r="G10" s="12" t="n"/>
      <c r="H10" s="12" t="n"/>
      <c r="I10" s="4" t="n"/>
      <c r="J10" s="12" t="n"/>
      <c r="K10" s="12" t="n"/>
    </row>
    <row r="11" ht="14.25" customHeight="1" s="11">
      <c r="A11" s="12" t="n">
        <v>10</v>
      </c>
      <c r="B11" s="4" t="n"/>
      <c r="C11" s="12" t="n"/>
      <c r="D11" s="12" t="n"/>
      <c r="E11" s="12" t="n"/>
      <c r="F11" s="12" t="n"/>
      <c r="G11" s="12" t="n"/>
      <c r="H11" s="12" t="n"/>
      <c r="I11" s="4" t="n"/>
      <c r="J11" s="12" t="n"/>
      <c r="K11" s="12" t="n"/>
    </row>
    <row r="12" ht="14.25" customHeight="1" s="11">
      <c r="A12" s="12" t="n">
        <v>11</v>
      </c>
      <c r="B12" s="4" t="n"/>
      <c r="C12" s="12" t="n"/>
      <c r="D12" s="12" t="n"/>
      <c r="E12" s="12" t="n"/>
      <c r="F12" s="12" t="n"/>
      <c r="G12" s="12" t="n"/>
      <c r="H12" s="12" t="n"/>
      <c r="I12" s="4" t="n"/>
      <c r="J12" s="12" t="n"/>
      <c r="K12" s="12" t="n"/>
    </row>
    <row r="13" ht="14.25" customHeight="1" s="11">
      <c r="A13" s="12" t="n">
        <v>12</v>
      </c>
      <c r="B13" s="4" t="n">
        <v>46297</v>
      </c>
      <c r="C13" s="12" t="inlineStr">
        <is>
          <t>Huascar</t>
        </is>
      </c>
      <c r="D13" s="12" t="inlineStr">
        <is>
          <t xml:space="preserve">Creacion de usuarios </t>
        </is>
      </c>
      <c r="E13" s="12" t="inlineStr">
        <is>
          <t xml:space="preserve">Se creo 2 usuarios de administrador </t>
        </is>
      </c>
      <c r="F13" s="12" t="inlineStr">
        <is>
          <t>media</t>
        </is>
      </c>
      <c r="G13" s="12" t="inlineStr">
        <is>
          <t>Danitza</t>
        </is>
      </c>
      <c r="H13" s="12" t="inlineStr">
        <is>
          <t>Realizado</t>
        </is>
      </c>
      <c r="I13" s="4" t="n">
        <v>46298</v>
      </c>
      <c r="J13" s="12" t="inlineStr">
        <is>
          <t xml:space="preserve">Se le envio los accesos </t>
        </is>
      </c>
      <c r="K13" s="12" t="n"/>
    </row>
    <row r="14" ht="14.25" customHeight="1" s="11">
      <c r="A14" s="12" t="n">
        <v>13</v>
      </c>
      <c r="B14" s="4" t="n">
        <v>46301</v>
      </c>
      <c r="C14" s="12" t="inlineStr">
        <is>
          <t>Huascar</t>
        </is>
      </c>
      <c r="D14" s="12" t="inlineStr">
        <is>
          <t xml:space="preserve">Creacion de usuarios </t>
        </is>
      </c>
      <c r="E14" s="12" t="inlineStr">
        <is>
          <t xml:space="preserve">Se creo 1 usuario de distribuidor </t>
        </is>
      </c>
      <c r="F14" s="12" t="inlineStr">
        <is>
          <t>media</t>
        </is>
      </c>
      <c r="G14" s="12" t="inlineStr">
        <is>
          <t>Danitza</t>
        </is>
      </c>
      <c r="H14" s="12" t="inlineStr">
        <is>
          <t>Realizado</t>
        </is>
      </c>
      <c r="I14" s="4" t="n">
        <v>46301</v>
      </c>
      <c r="J14" s="12" t="inlineStr">
        <is>
          <t xml:space="preserve">Pendiente el envio, porque tiene que enviar de los demas distribuidores </t>
        </is>
      </c>
      <c r="K14" s="12" t="n"/>
    </row>
    <row r="15" ht="14.25" customHeight="1" s="11">
      <c r="A15" s="12" t="n">
        <v>14</v>
      </c>
      <c r="B15" s="4" t="n">
        <v>46302</v>
      </c>
      <c r="C15" s="12" t="inlineStr">
        <is>
          <t>Huascar</t>
        </is>
      </c>
      <c r="D15" s="12" t="inlineStr">
        <is>
          <t xml:space="preserve">Ajuste </t>
        </is>
      </c>
      <c r="E15" s="12" t="inlineStr">
        <is>
          <t xml:space="preserve">Ajustar o parchar numero de contacto de un PDF </t>
        </is>
      </c>
      <c r="F15" s="12" t="inlineStr">
        <is>
          <t>Alta</t>
        </is>
      </c>
      <c r="G15" s="12" t="inlineStr">
        <is>
          <t>Andrea</t>
        </is>
      </c>
      <c r="H15" s="12" t="inlineStr">
        <is>
          <t>Realizado</t>
        </is>
      </c>
      <c r="I15" s="4" t="n">
        <v>46302</v>
      </c>
      <c r="J15" s="12" t="inlineStr">
        <is>
          <t xml:space="preserve">Se parcho el numero de contacto de un brochure enviado por Huascar </t>
        </is>
      </c>
      <c r="K15" s="12" t="n"/>
    </row>
    <row r="16" ht="14.25" customHeight="1" s="11">
      <c r="A16" s="12" t="n">
        <v>15</v>
      </c>
      <c r="B16" s="4" t="n">
        <v>46293</v>
      </c>
      <c r="C16" s="12" t="inlineStr">
        <is>
          <t>Huascar</t>
        </is>
      </c>
      <c r="D16" s="12" t="inlineStr">
        <is>
          <t>Otro</t>
        </is>
      </c>
      <c r="E16" s="12" t="inlineStr">
        <is>
          <t>Diseño de folleto tamaño media carta para impresión</t>
        </is>
      </c>
      <c r="F16" s="12" t="inlineStr">
        <is>
          <t>media</t>
        </is>
      </c>
      <c r="G16" s="12" t="inlineStr">
        <is>
          <t>Andrea</t>
        </is>
      </c>
      <c r="H16" s="12" t="inlineStr">
        <is>
          <t>Realizado</t>
        </is>
      </c>
      <c r="I16" s="4" t="n">
        <v>46293</v>
      </c>
      <c r="J16" s="12" t="inlineStr">
        <is>
          <t>Huascar pidio un folleto en base a la cartilla empresarial</t>
        </is>
      </c>
      <c r="K16" s="12" t="n"/>
    </row>
    <row r="17" ht="14.25" customHeight="1" s="11">
      <c r="A17" s="12" t="n">
        <v>16</v>
      </c>
      <c r="B17" s="4" t="n">
        <v>46301</v>
      </c>
      <c r="C17" s="12" t="inlineStr">
        <is>
          <t>Huascar</t>
        </is>
      </c>
      <c r="D17" s="12" t="inlineStr">
        <is>
          <t>Otro</t>
        </is>
      </c>
      <c r="E17" s="12" t="inlineStr">
        <is>
          <t xml:space="preserve">Impresión de folleto media carta </t>
        </is>
      </c>
      <c r="F17" s="12" t="inlineStr">
        <is>
          <t>media</t>
        </is>
      </c>
      <c r="G17" s="12" t="inlineStr">
        <is>
          <t>Andrea</t>
        </is>
      </c>
      <c r="H17" s="12" t="inlineStr">
        <is>
          <t>Realizado</t>
        </is>
      </c>
      <c r="I17" s="4" t="n">
        <v>46301</v>
      </c>
      <c r="J17" s="12" t="inlineStr">
        <is>
          <t>Impresión con factura y sin fee</t>
        </is>
      </c>
      <c r="K17" s="12" t="n"/>
    </row>
    <row r="18" ht="14.25" customHeight="1" s="11">
      <c r="A18" s="12" t="n">
        <v>17</v>
      </c>
      <c r="B18" s="4" t="n">
        <v>46301</v>
      </c>
      <c r="C18" s="12" t="inlineStr">
        <is>
          <t>Andrés</t>
        </is>
      </c>
      <c r="D18" s="12" t="inlineStr">
        <is>
          <t>Otro</t>
        </is>
      </c>
      <c r="E18" s="12" t="inlineStr">
        <is>
          <t>Impresión de stickers para tapón de bidón</t>
        </is>
      </c>
      <c r="F18" s="12" t="inlineStr">
        <is>
          <t>media</t>
        </is>
      </c>
      <c r="G18" s="12" t="inlineStr">
        <is>
          <t>Andrea</t>
        </is>
      </c>
      <c r="H18" s="12" t="inlineStr">
        <is>
          <t>Realizado</t>
        </is>
      </c>
      <c r="I18" s="4" t="n">
        <v>46301</v>
      </c>
      <c r="J18" s="12" t="inlineStr">
        <is>
          <t>Impresión sin factura y sin fee</t>
        </is>
      </c>
      <c r="K18" s="12" t="n"/>
    </row>
    <row r="19" ht="14.25" customHeight="1" s="11">
      <c r="A19" s="12" t="n">
        <v>18</v>
      </c>
      <c r="B19" s="4" t="n">
        <v>46304</v>
      </c>
      <c r="C19" s="12" t="inlineStr">
        <is>
          <t>Andrés</t>
        </is>
      </c>
      <c r="D19" s="12" t="inlineStr">
        <is>
          <t>Otro</t>
        </is>
      </c>
      <c r="E19" s="12" t="inlineStr">
        <is>
          <t>Impresión de etiqueta posterior de bidón</t>
        </is>
      </c>
      <c r="F19" s="12" t="inlineStr">
        <is>
          <t>Alta</t>
        </is>
      </c>
      <c r="G19" s="12" t="inlineStr">
        <is>
          <t>Andrea</t>
        </is>
      </c>
      <c r="H19" s="12" t="inlineStr">
        <is>
          <t>En desarrollo</t>
        </is>
      </c>
      <c r="I19" s="4" t="n">
        <v>46304</v>
      </c>
      <c r="J19" s="12" t="inlineStr">
        <is>
          <t>Impresión con factura y con fee pendiente de entrega, entregan viernes 09/10/2026</t>
        </is>
      </c>
      <c r="K19" s="12" t="n"/>
    </row>
    <row r="20" ht="14.25" customHeight="1" s="11">
      <c r="A20" s="12" t="n">
        <v>19</v>
      </c>
      <c r="B20" s="4" t="n">
        <v>46300</v>
      </c>
      <c r="C20" s="12" t="inlineStr">
        <is>
          <t>Andrés</t>
        </is>
      </c>
      <c r="D20" s="12" t="inlineStr">
        <is>
          <t>Cambio de texto</t>
        </is>
      </c>
      <c r="E20" s="12" t="inlineStr">
        <is>
          <t xml:space="preserve">Ajuste de info a nivel texto para etiqueta posterior </t>
        </is>
      </c>
      <c r="F20" s="12" t="inlineStr">
        <is>
          <t>media</t>
        </is>
      </c>
      <c r="G20" s="12" t="inlineStr">
        <is>
          <t>Andrea</t>
        </is>
      </c>
      <c r="H20" s="12" t="inlineStr">
        <is>
          <t>Realizado</t>
        </is>
      </c>
      <c r="I20" s="4" t="n">
        <v>46300</v>
      </c>
      <c r="J20" s="12" t="inlineStr">
        <is>
          <t>Se ajusto la información de la etiqueta posterior a números y dirección correcta</t>
        </is>
      </c>
      <c r="K20" s="12" t="n"/>
    </row>
    <row r="21" ht="14.25" customHeight="1" s="11">
      <c r="A21" s="12" t="n">
        <v>20</v>
      </c>
      <c r="B21" s="4" t="n">
        <v>46296</v>
      </c>
      <c r="C21" s="12" t="inlineStr">
        <is>
          <t>Huascar</t>
        </is>
      </c>
      <c r="D21" s="12" t="inlineStr">
        <is>
          <t>Nueva funcionalidad</t>
        </is>
      </c>
      <c r="E21" s="12" t="inlineStr">
        <is>
          <t>Módulo de WhatsApp dentro del CRM, para atender a los clientes sin salir del sistema.</t>
        </is>
      </c>
      <c r="F21" s="12" t="inlineStr">
        <is>
          <t>Alta</t>
        </is>
      </c>
      <c r="G21" s="12" t="inlineStr">
        <is>
          <t>Javier</t>
        </is>
      </c>
      <c r="H21" s="12" t="inlineStr">
        <is>
          <t>Realizado</t>
        </is>
      </c>
      <c r="I21" s="4" t="n">
        <v>46296</v>
      </c>
      <c r="J21" s="12" t="inlineStr">
        <is>
          <t>Bandeja de conversaciones con el hilo completo, envío de texto, plantillas aprobadas, multimedia y ubicación, y derivación del agente de IA a una persona del equipo.</t>
        </is>
      </c>
      <c r="K21" s="12" t="n"/>
    </row>
    <row r="22" ht="14.25" customHeight="1" s="11">
      <c r="A22" s="12" t="n">
        <v>21</v>
      </c>
      <c r="B22" s="4" t="n">
        <v>46296</v>
      </c>
      <c r="C22" s="12" t="inlineStr">
        <is>
          <t>Huascar</t>
        </is>
      </c>
      <c r="D22" s="12" t="inlineStr">
        <is>
          <t>Nueva funcionalidad</t>
        </is>
      </c>
      <c r="E22" s="12" t="inlineStr">
        <is>
          <t>Pantalla para que el distribuidor tome pedidos desde el celular, en la calle.</t>
        </is>
      </c>
      <c r="F22" s="12" t="inlineStr">
        <is>
          <t>Alta</t>
        </is>
      </c>
      <c r="G22" s="12" t="inlineStr">
        <is>
          <t>Javier</t>
        </is>
      </c>
      <c r="H22" s="12" t="inlineStr">
        <is>
          <t>Realizado</t>
        </is>
      </c>
      <c r="I22" s="4" t="n">
        <v>46296</v>
      </c>
      <c r="J22" s="12" t="inlineStr">
        <is>
          <t>Punto de Distribuidor táctil: elegir sucursal, buscar o crear el cliente por teléfono, armar el pedido con el catálogo y los precios de esa sucursal, cobrar y entregar.</t>
        </is>
      </c>
      <c r="K22" s="12" t="n"/>
    </row>
    <row r="23" ht="14.25" customHeight="1" s="11">
      <c r="A23" s="12" t="n">
        <v>22</v>
      </c>
      <c r="B23" s="4" t="n">
        <v>46296</v>
      </c>
      <c r="C23" s="12" t="inlineStr">
        <is>
          <t>Huascar</t>
        </is>
      </c>
      <c r="D23" s="12" t="inlineStr">
        <is>
          <t>Corrección</t>
        </is>
      </c>
      <c r="E23" s="12" t="inlineStr">
        <is>
          <t>Revisión de seguridad de los endpoints del historial de IA.</t>
        </is>
      </c>
      <c r="F23" s="12" t="inlineStr">
        <is>
          <t>Alta</t>
        </is>
      </c>
      <c r="G23" s="12" t="inlineStr">
        <is>
          <t>Javier</t>
        </is>
      </c>
      <c r="H23" s="12" t="inlineStr">
        <is>
          <t>Realizado</t>
        </is>
      </c>
      <c r="I23" s="4" t="n">
        <v>46296</v>
      </c>
      <c r="J23" s="12" t="inlineStr">
        <is>
          <t>Un endpoint quedaba accesible sin autenticación: se sacó de la vía pública y se corrigió el nombre de tabla que usaba.</t>
        </is>
      </c>
      <c r="K23" s="12" t="inlineStr">
        <is>
          <t>Hallazgo de seguridad.</t>
        </is>
      </c>
    </row>
    <row r="24" ht="14.25" customHeight="1" s="11">
      <c r="A24" s="12" t="n">
        <v>23</v>
      </c>
      <c r="B24" s="4" t="n">
        <v>46297</v>
      </c>
      <c r="C24" s="12" t="inlineStr">
        <is>
          <t>Huascar</t>
        </is>
      </c>
      <c r="D24" s="12" t="inlineStr">
        <is>
          <t>Nueva funcionalidad</t>
        </is>
      </c>
      <c r="E24" s="12" t="inlineStr">
        <is>
          <t>Que cada sucursal vea únicamente sus propios pedidos.</t>
        </is>
      </c>
      <c r="F24" s="12" t="inlineStr">
        <is>
          <t>Alta</t>
        </is>
      </c>
      <c r="G24" s="12" t="inlineStr">
        <is>
          <t>Javier</t>
        </is>
      </c>
      <c r="H24" s="12" t="inlineStr">
        <is>
          <t>Realizado</t>
        </is>
      </c>
      <c r="I24" s="4" t="n">
        <v>46297</v>
      </c>
      <c r="J24" s="12" t="inlineStr">
        <is>
          <t>Aislamiento por sucursal aplicado en el servidor y no sólo en pantalla. El pedido tomado en el Punto nace ya confirmado, sin paso intermedio.</t>
        </is>
      </c>
      <c r="K24" s="12" t="n"/>
    </row>
    <row r="25" ht="14.25" customHeight="1" s="11">
      <c r="A25" s="12" t="n">
        <v>24</v>
      </c>
      <c r="B25" s="4" t="n">
        <v>46297</v>
      </c>
      <c r="C25" s="12" t="inlineStr">
        <is>
          <t>Huascar</t>
        </is>
      </c>
      <c r="D25" s="12" t="inlineStr">
        <is>
          <t>Nueva funcionalidad</t>
        </is>
      </c>
      <c r="E25" s="12" t="inlineStr">
        <is>
          <t>Atajos para no tener que tipear el teléfono con una mano, parado en la calle.</t>
        </is>
      </c>
      <c r="F25" s="12" t="inlineStr">
        <is>
          <t>Media</t>
        </is>
      </c>
      <c r="G25" s="12" t="inlineStr">
        <is>
          <t>Javier</t>
        </is>
      </c>
      <c r="H25" s="12" t="inlineStr">
        <is>
          <t>Realizado</t>
        </is>
      </c>
      <c r="I25" s="4" t="n">
        <v>46297</v>
      </c>
      <c r="J25" s="12" t="inlineStr">
        <is>
          <t>Clientes recientes a un toque, repetir el último pedido con los precios actuales, y caja del día con el total cobrado cortado por forma de pago.</t>
        </is>
      </c>
      <c r="K25" s="12" t="n"/>
    </row>
    <row r="26" ht="14.25" customHeight="1" s="11">
      <c r="A26" s="12" t="n">
        <v>25</v>
      </c>
      <c r="B26" s="4" t="n">
        <v>46297</v>
      </c>
      <c r="C26" s="12" t="inlineStr">
        <is>
          <t>Huascar</t>
        </is>
      </c>
      <c r="D26" s="12" t="inlineStr">
        <is>
          <t>Nueva funcionalidad</t>
        </is>
      </c>
      <c r="E26" s="12" t="inlineStr">
        <is>
          <t>Mostrar en cada pedido dónde hay que entregarlo.</t>
        </is>
      </c>
      <c r="F26" s="12" t="inlineStr">
        <is>
          <t>Alta</t>
        </is>
      </c>
      <c r="G26" s="12" t="inlineStr">
        <is>
          <t>Javier</t>
        </is>
      </c>
      <c r="H26" s="12" t="inlineStr">
        <is>
          <t>Realizado</t>
        </is>
      </c>
      <c r="I26" s="4" t="n">
        <v>46297</v>
      </c>
      <c r="J26" s="12" t="inlineStr">
        <is>
          <t>La ubicación se muestra venga escrita o en coordenadas, con enlace directo al mapa y aviso de si el punto es exacto o una búsqueda por dirección.</t>
        </is>
      </c>
      <c r="K26" s="12" t="n"/>
    </row>
    <row r="27" ht="14.25" customHeight="1" s="11">
      <c r="A27" s="12" t="n">
        <v>26</v>
      </c>
      <c r="B27" s="4" t="n">
        <v>46297</v>
      </c>
      <c r="C27" s="12" t="inlineStr">
        <is>
          <t>Huascar</t>
        </is>
      </c>
      <c r="D27" s="12" t="inlineStr">
        <is>
          <t>Cambio de diseño</t>
        </is>
      </c>
      <c r="E27" s="12" t="inlineStr">
        <is>
          <t>Simplificar la tarjeta del pedido: mostraba cuatro botones a la vez y confundía.</t>
        </is>
      </c>
      <c r="F27" s="12" t="inlineStr">
        <is>
          <t>Media</t>
        </is>
      </c>
      <c r="G27" s="12" t="inlineStr">
        <is>
          <t>Javier</t>
        </is>
      </c>
      <c r="H27" s="12" t="inlineStr">
        <is>
          <t>Realizado</t>
        </is>
      </c>
      <c r="I27" s="4" t="n">
        <v>46297</v>
      </c>
      <c r="J27" s="12" t="inlineStr">
        <is>
          <t>Una sola acción por paso (confirmar, cobrar, entregar) según en qué etapa está el pedido. La ruta del día muestra sólo pedidos confirmados.</t>
        </is>
      </c>
      <c r="K27" s="12" t="n"/>
    </row>
    <row r="28" ht="14.25" customHeight="1" s="11">
      <c r="A28" s="12" t="n">
        <v>27</v>
      </c>
      <c r="B28" s="4" t="n">
        <v>46297</v>
      </c>
      <c r="C28" s="12" t="inlineStr">
        <is>
          <t>Huascar</t>
        </is>
      </c>
      <c r="D28" s="12" t="inlineStr">
        <is>
          <t>Configuración</t>
        </is>
      </c>
      <c r="E28" s="12" t="inlineStr">
        <is>
          <t>En el Punto siempre se cobra al contado y por el total del pedido.</t>
        </is>
      </c>
      <c r="F28" s="12" t="inlineStr">
        <is>
          <t>Media</t>
        </is>
      </c>
      <c r="G28" s="12" t="inlineStr">
        <is>
          <t>Javier</t>
        </is>
      </c>
      <c r="H28" s="12" t="inlineStr">
        <is>
          <t>Realizado</t>
        </is>
      </c>
      <c r="I28" s="4" t="n">
        <v>46297</v>
      </c>
      <c r="J28" s="12" t="inlineStr">
        <is>
          <t>El importe lo calcula el servidor y se eliminó el campo editable. Un descuento se hace ajustando el precio al armar el pedido.</t>
        </is>
      </c>
      <c r="K28" s="12" t="n"/>
    </row>
    <row r="29" ht="14.25" customHeight="1" s="11">
      <c r="A29" s="12" t="n">
        <v>28</v>
      </c>
      <c r="B29" s="4" t="n">
        <v>46297</v>
      </c>
      <c r="C29" s="12" t="inlineStr">
        <is>
          <t>Huascar</t>
        </is>
      </c>
      <c r="D29" s="12" t="inlineStr">
        <is>
          <t>Corrección</t>
        </is>
      </c>
      <c r="E29" s="12" t="inlineStr">
        <is>
          <t>Errores encontrados recorriendo el flujo del distribuidor a mano.</t>
        </is>
      </c>
      <c r="F29" s="12" t="inlineStr">
        <is>
          <t>Alta</t>
        </is>
      </c>
      <c r="G29" s="12" t="inlineStr">
        <is>
          <t>Javier</t>
        </is>
      </c>
      <c r="H29" s="12" t="inlineStr">
        <is>
          <t>Realizado</t>
        </is>
      </c>
      <c r="I29" s="4" t="n">
        <v>46297</v>
      </c>
      <c r="J29" s="12" t="inlineStr">
        <is>
          <t>No se podía subir la foto de entrega; se podía entregar sin haber cobrado; había dos selectores del mismo lugar en la misma pantalla; los modales no eran accesibles y el texto gris no llegaba al contraste mínimo; el rechazo del agente de IA no dejaba rastro.</t>
        </is>
      </c>
      <c r="K29" s="12" t="n"/>
    </row>
    <row r="30" ht="14.25" customHeight="1" s="11">
      <c r="A30" s="12" t="n">
        <v>29</v>
      </c>
      <c r="B30" s="4" t="n">
        <v>46300</v>
      </c>
      <c r="C30" s="12" t="inlineStr">
        <is>
          <t>Huascar</t>
        </is>
      </c>
      <c r="D30" s="12" t="inlineStr">
        <is>
          <t>Nueva funcionalidad</t>
        </is>
      </c>
      <c r="E30" s="12" t="inlineStr">
        <is>
          <t>Que el asesor y el distribuidor vean sólo los clientes de su ciudad.</t>
        </is>
      </c>
      <c r="F30" s="12" t="inlineStr">
        <is>
          <t>Alta</t>
        </is>
      </c>
      <c r="G30" s="12" t="inlineStr">
        <is>
          <t>Javier</t>
        </is>
      </c>
      <c r="H30" s="12" t="inlineStr">
        <is>
          <t>Realizado</t>
        </is>
      </c>
      <c r="I30" s="4" t="n">
        <v>46300</v>
      </c>
      <c r="J30" s="12" t="inlineStr">
        <is>
          <t>El alcance pasa a ser por ciudad en lugar de por dueño del lead, y cubre también la búsqueda por teléfono desde WhatsApp.</t>
        </is>
      </c>
      <c r="K30" s="12" t="n"/>
    </row>
    <row r="31" ht="14.25" customHeight="1" s="11">
      <c r="A31" s="12" t="n">
        <v>30</v>
      </c>
      <c r="B31" s="4" t="n">
        <v>46300</v>
      </c>
      <c r="C31" s="12" t="inlineStr">
        <is>
          <t>Huascar</t>
        </is>
      </c>
      <c r="D31" s="12" t="inlineStr">
        <is>
          <t>Nueva funcionalidad</t>
        </is>
      </c>
      <c r="E31" s="12" t="inlineStr">
        <is>
          <t>Control de bidones: saber cuántos envases tiene cada cliente en su casa.</t>
        </is>
      </c>
      <c r="F31" s="12" t="inlineStr">
        <is>
          <t>Alta</t>
        </is>
      </c>
      <c r="G31" s="12" t="inlineStr">
        <is>
          <t>Javier</t>
        </is>
      </c>
      <c r="H31" s="12" t="inlineStr">
        <is>
          <t>Realizado</t>
        </is>
      </c>
      <c r="I31" s="4" t="n">
        <v>46300</v>
      </c>
      <c r="J31" s="12" t="inlineStr">
        <is>
          <t>Registro de envases entregados y retirados en cada visita, saldo por cliente calculado sumando movimientos, apartado para registrar devoluciones sin pedido, y saldo visible en la ficha del contacto dentro del CRM.</t>
        </is>
      </c>
      <c r="K31" s="12" t="n"/>
    </row>
    <row r="32" ht="14.25" customHeight="1" s="11">
      <c r="A32" s="12" t="n">
        <v>31</v>
      </c>
      <c r="B32" s="4" t="n">
        <v>46300</v>
      </c>
      <c r="C32" s="12" t="inlineStr">
        <is>
          <t>Huascar</t>
        </is>
      </c>
      <c r="D32" s="12" t="inlineStr">
        <is>
          <t>Nueva funcionalidad</t>
        </is>
      </c>
      <c r="E32" s="12" t="inlineStr">
        <is>
          <t>Guardar el domicilio del cliente para no depender de la memoria del distribuidor.</t>
        </is>
      </c>
      <c r="F32" s="12" t="inlineStr">
        <is>
          <t>Alta</t>
        </is>
      </c>
      <c r="G32" s="12" t="inlineStr">
        <is>
          <t>Javier</t>
        </is>
      </c>
      <c r="H32" s="12" t="inlineStr">
        <is>
          <t>Realizado</t>
        </is>
      </c>
      <c r="I32" s="4" t="n">
        <v>46300</v>
      </c>
      <c r="J32" s="12" t="inlineStr">
        <is>
          <t>Se marca en el mapa o se toma con el GPS parado en la puerta, se carga junto con el contacto nuevo y se puede corregir después. La ficha lo muestra en un mapa.</t>
        </is>
      </c>
      <c r="K32" s="12" t="n"/>
    </row>
    <row r="33" ht="14.25" customHeight="1" s="11">
      <c r="A33" s="12" t="n">
        <v>32</v>
      </c>
      <c r="B33" s="4" t="n">
        <v>46300</v>
      </c>
      <c r="C33" s="12" t="inlineStr">
        <is>
          <t>Huascar</t>
        </is>
      </c>
      <c r="D33" s="12" t="inlineStr">
        <is>
          <t>Nueva funcionalidad</t>
        </is>
      </c>
      <c r="E33" s="12" t="inlineStr">
        <is>
          <t>Poder corregir los productos de un pedido ya cargado.</t>
        </is>
      </c>
      <c r="F33" s="12" t="inlineStr">
        <is>
          <t>Alta</t>
        </is>
      </c>
      <c r="G33" s="12" t="inlineStr">
        <is>
          <t>Javier</t>
        </is>
      </c>
      <c r="H33" s="12" t="inlineStr">
        <is>
          <t>Realizado</t>
        </is>
      </c>
      <c r="I33" s="4" t="n">
        <v>46301</v>
      </c>
      <c r="J33" s="12" t="inlineStr">
        <is>
          <t>Diálogo de edición que registra quién editó, qué cambió y cuánto se había cobrado. Sirve también después de cobrado y entregado, que es el caso real del pedido que el cliente corrige en la puerta.</t>
        </is>
      </c>
      <c r="K33" s="12" t="n"/>
    </row>
    <row r="34" ht="14.25" customHeight="1" s="11">
      <c r="A34" s="12" t="n">
        <v>33</v>
      </c>
      <c r="B34" s="4" t="n">
        <v>46300</v>
      </c>
      <c r="C34" s="12" t="inlineStr">
        <is>
          <t>Huascar</t>
        </is>
      </c>
      <c r="D34" s="12" t="inlineStr">
        <is>
          <t>Corrección</t>
        </is>
      </c>
      <c r="E34" s="12" t="inlineStr">
        <is>
          <t>La bandeja de WhatsApp se abría en blanco.</t>
        </is>
      </c>
      <c r="F34" s="12" t="inlineStr">
        <is>
          <t>Alta</t>
        </is>
      </c>
      <c r="G34" s="12" t="inlineStr">
        <is>
          <t>Javier</t>
        </is>
      </c>
      <c r="H34" s="12" t="inlineStr">
        <is>
          <t>Realizado</t>
        </is>
      </c>
      <c r="I34" s="4" t="n">
        <v>46300</v>
      </c>
      <c r="J34" s="12" t="inlineStr">
        <is>
          <t>Una etiqueta de más rompía el componente. Además el hilo ahora explica por qué no cargó en vez de quedar vacío, y muestra qué opción tocó el cliente cuando responde un botón.</t>
        </is>
      </c>
      <c r="K34" s="12" t="n"/>
    </row>
    <row r="35" ht="14.25" customHeight="1" s="11">
      <c r="A35" s="12" t="n">
        <v>34</v>
      </c>
      <c r="B35" s="4" t="n">
        <v>46300</v>
      </c>
      <c r="C35" s="12" t="inlineStr">
        <is>
          <t>Huascar</t>
        </is>
      </c>
      <c r="D35" s="12" t="inlineStr">
        <is>
          <t>Corrección</t>
        </is>
      </c>
      <c r="E35" s="12" t="inlineStr">
        <is>
          <t>Errores del Punto encontrados probando en el celular.</t>
        </is>
      </c>
      <c r="F35" s="12" t="inlineStr">
        <is>
          <t>Alta</t>
        </is>
      </c>
      <c r="G35" s="12" t="inlineStr">
        <is>
          <t>Javier</t>
        </is>
      </c>
      <c r="H35" s="12" t="inlineStr">
        <is>
          <t>Realizado</t>
        </is>
      </c>
      <c r="I35" s="4" t="n">
        <v>46300</v>
      </c>
      <c r="J35" s="12" t="inlineStr">
        <is>
          <t>El GPS se rechazaba por geografía en vez de por precisión; la pantalla no entraba en un celular de 375 px; el botón de ubicación mandaba un dato equivocado; "Entregar" abría la cámara tapando los campos; faltaba foco visible y un camino con teclado.</t>
        </is>
      </c>
      <c r="K35" s="12" t="n"/>
    </row>
    <row r="36" ht="14.25" customHeight="1" s="11">
      <c r="A36" s="12" t="n">
        <v>35</v>
      </c>
      <c r="B36" s="4" t="n">
        <v>46300</v>
      </c>
      <c r="C36" s="12" t="inlineStr">
        <is>
          <t>Huascar</t>
        </is>
      </c>
      <c r="D36" s="12" t="inlineStr">
        <is>
          <t>Contenido</t>
        </is>
      </c>
      <c r="E36" s="12" t="inlineStr">
        <is>
          <t>Documentar los pendientes y dejar registro de las decisiones del negocio.</t>
        </is>
      </c>
      <c r="F36" s="12" t="inlineStr">
        <is>
          <t>Media</t>
        </is>
      </c>
      <c r="G36" s="12" t="inlineStr">
        <is>
          <t>Javier</t>
        </is>
      </c>
      <c r="H36" s="12" t="inlineStr">
        <is>
          <t>Realizado</t>
        </is>
      </c>
      <c r="I36" s="4" t="n">
        <v>46300</v>
      </c>
      <c r="J36" s="12" t="inlineStr">
        <is>
          <t>Especificación y plan de los pendientes de Sensia, con las decisiones tomadas.</t>
        </is>
      </c>
      <c r="K36" s="12" t="inlineStr">
        <is>
          <t>El flujo de delivery con delimitación de zona quedó fuera de alcance por decisión del negocio.</t>
        </is>
      </c>
    </row>
    <row r="37" ht="14.25" customHeight="1" s="11">
      <c r="A37" s="12" t="n">
        <v>36</v>
      </c>
      <c r="B37" s="4" t="n">
        <v>46301</v>
      </c>
      <c r="C37" s="12" t="inlineStr">
        <is>
          <t>Huascar</t>
        </is>
      </c>
      <c r="D37" s="12" t="inlineStr">
        <is>
          <t>Integración</t>
        </is>
      </c>
      <c r="E37" s="12" t="inlineStr">
        <is>
          <t>Que el agente de IA ofrezca el producto correcto según la sucursal del cliente.</t>
        </is>
      </c>
      <c r="F37" s="12" t="inlineStr">
        <is>
          <t>Alta</t>
        </is>
      </c>
      <c r="G37" s="12" t="inlineStr">
        <is>
          <t>Javier</t>
        </is>
      </c>
      <c r="H37" s="12" t="inlineStr">
        <is>
          <t>Realizado</t>
        </is>
      </c>
      <c r="I37" s="4" t="n">
        <v>46301</v>
      </c>
      <c r="J37" s="12" t="inlineStr">
        <is>
          <t>La API de productos pasa a devolver los atributos personalizados: sucursal, tipo, estado activo/inactivo y precio de promoción. Se entregó el documento de instrucciones para el equipo del agente.</t>
        </is>
      </c>
      <c r="K37" s="12" t="n"/>
    </row>
    <row r="38" ht="14.25" customHeight="1" s="11">
      <c r="A38" s="12" t="n">
        <v>37</v>
      </c>
      <c r="B38" s="4" t="n">
        <v>46301</v>
      </c>
      <c r="C38" s="12" t="inlineStr">
        <is>
          <t>Huascar</t>
        </is>
      </c>
      <c r="D38" s="12" t="inlineStr">
        <is>
          <t>Nueva funcionalidad</t>
        </is>
      </c>
      <c r="E38" s="12" t="inlineStr">
        <is>
          <t>Mandarle un mensaje de bienvenida al cliente cuando se lo carga por primera vez.</t>
        </is>
      </c>
      <c r="F38" s="12" t="inlineStr">
        <is>
          <t>Media</t>
        </is>
      </c>
      <c r="G38" s="12" t="inlineStr">
        <is>
          <t>Javier</t>
        </is>
      </c>
      <c r="H38" s="12" t="inlineStr">
        <is>
          <t>Realizado</t>
        </is>
      </c>
      <c r="I38" s="4" t="n">
        <v>46301</v>
      </c>
      <c r="J38" s="12" t="inlineStr">
        <is>
          <t>Sale al tocar "Crear contacto", como plantilla aprobada por Meta, sin poder trabar el alta del cliente si falla.</t>
        </is>
      </c>
      <c r="K38" s="12" t="inlineStr">
        <is>
          <t>Depende de que la plantilla siga aprobada en Meta.</t>
        </is>
      </c>
    </row>
    <row r="39" ht="14.25" customHeight="1" s="11">
      <c r="A39" s="12" t="n">
        <v>38</v>
      </c>
      <c r="B39" s="4" t="n">
        <v>46301</v>
      </c>
      <c r="C39" s="12" t="inlineStr">
        <is>
          <t>Huascar</t>
        </is>
      </c>
      <c r="D39" s="12" t="inlineStr">
        <is>
          <t>Nueva funcionalidad</t>
        </is>
      </c>
      <c r="E39" s="12" t="inlineStr">
        <is>
          <t>Poder anotar la dirección escrita y una referencia para encontrar la casa.</t>
        </is>
      </c>
      <c r="F39" s="12" t="inlineStr">
        <is>
          <t>Media</t>
        </is>
      </c>
      <c r="G39" s="12" t="inlineStr">
        <is>
          <t>Javier</t>
        </is>
      </c>
      <c r="H39" s="12" t="inlineStr">
        <is>
          <t>Realizado</t>
        </is>
      </c>
      <c r="I39" s="4" t="n">
        <v>46301</v>
      </c>
      <c r="J39" s="12" t="inlineStr">
        <is>
          <t>Dirección y referencia ("portón verde, hay un árbol afuera") en campos separados del pedido, que es lo que de verdad usa quien toca el timbre.</t>
        </is>
      </c>
      <c r="K39" s="12" t="n"/>
    </row>
    <row r="40" ht="14.25" customHeight="1" s="11">
      <c r="A40" s="12" t="n">
        <v>39</v>
      </c>
      <c r="B40" s="4" t="n">
        <v>46301</v>
      </c>
      <c r="C40" s="12" t="inlineStr">
        <is>
          <t>Huascar</t>
        </is>
      </c>
      <c r="D40" s="12" t="inlineStr">
        <is>
          <t>Nueva funcionalidad</t>
        </is>
      </c>
      <c r="E40" s="12" t="inlineStr">
        <is>
          <t>Que sirva el link de Google Maps que el cliente pega en el chat.</t>
        </is>
      </c>
      <c r="F40" s="12" t="inlineStr">
        <is>
          <t>Media</t>
        </is>
      </c>
      <c r="G40" s="12" t="inlineStr">
        <is>
          <t>Javier</t>
        </is>
      </c>
      <c r="H40" s="12" t="inlineStr">
        <is>
          <t>Realizado</t>
        </is>
      </c>
      <c r="I40" s="4" t="n">
        <v>46301</v>
      </c>
      <c r="J40" s="12" t="inlineStr">
        <is>
          <t>El sistema abre el link corto y extrae las coordenadas del lugar. Se verificó contra los links reales que ya había en las conversaciones.</t>
        </is>
      </c>
      <c r="K40" s="12" t="n"/>
    </row>
    <row r="41" ht="14.25" customHeight="1" s="11">
      <c r="A41" s="12" t="n">
        <v>40</v>
      </c>
      <c r="B41" s="4" t="n">
        <v>46301</v>
      </c>
      <c r="C41" s="12" t="inlineStr">
        <is>
          <t>Huascar</t>
        </is>
      </c>
      <c r="D41" s="12" t="inlineStr">
        <is>
          <t>Corrección</t>
        </is>
      </c>
      <c r="E41" s="12" t="inlineStr">
        <is>
          <t>El agente de IA recibía el aviso de ubicación sin las coordenadas.</t>
        </is>
      </c>
      <c r="F41" s="12" t="inlineStr">
        <is>
          <t>Alta</t>
        </is>
      </c>
      <c r="G41" s="12" t="inlineStr">
        <is>
          <t>Javier</t>
        </is>
      </c>
      <c r="H41" s="12" t="inlineStr">
        <is>
          <t>Realizado</t>
        </is>
      </c>
      <c r="I41" s="4" t="n">
        <v>46301</v>
      </c>
      <c r="J41" s="12" t="inlineStr">
        <is>
          <t>Cuando el cliente mandaba su ubicación por WhatsApp, el evento llegaba vacío y el agente no tenía nada que guardar. Ahora viaja la latitud y la longitud.</t>
        </is>
      </c>
      <c r="K41" s="12" t="inlineStr">
        <is>
          <t>Reportado también por el equipo del agente.</t>
        </is>
      </c>
    </row>
    <row r="42" ht="14.25" customHeight="1" s="11">
      <c r="A42" s="12" t="n">
        <v>41</v>
      </c>
      <c r="B42" s="4" t="n">
        <v>46301</v>
      </c>
      <c r="C42" s="12" t="inlineStr">
        <is>
          <t>Huascar</t>
        </is>
      </c>
      <c r="D42" s="12" t="inlineStr">
        <is>
          <t>Corrección</t>
        </is>
      </c>
      <c r="E42" s="12" t="inlineStr">
        <is>
          <t>Los botones se veían grises en vez de verdes.</t>
        </is>
      </c>
      <c r="F42" s="12" t="inlineStr">
        <is>
          <t>Alta</t>
        </is>
      </c>
      <c r="G42" s="12" t="inlineStr">
        <is>
          <t>Javier</t>
        </is>
      </c>
      <c r="H42" s="12" t="inlineStr">
        <is>
          <t>Realizado</t>
        </is>
      </c>
      <c r="I42" s="4" t="n">
        <v>46301</v>
      </c>
      <c r="J42" s="12" t="inlineStr">
        <is>
          <t>Los estilos del panel no se compilaban al desplegar, así que faltaban clases que las pantallas usaban. Se corrigió y se agregó una verificación automática para que no vuelva a pasar sin que nadie se entere.</t>
        </is>
      </c>
      <c r="K42" s="12" t="n"/>
    </row>
    <row r="43" ht="14.25" customHeight="1" s="11">
      <c r="A43" s="12" t="n">
        <v>42</v>
      </c>
      <c r="B43" s="4" t="n">
        <v>46301</v>
      </c>
      <c r="C43" s="12" t="inlineStr">
        <is>
          <t>Huascar</t>
        </is>
      </c>
      <c r="D43" s="12" t="inlineStr">
        <is>
          <t>Corrección</t>
        </is>
      </c>
      <c r="E43" s="12" t="inlineStr">
        <is>
          <t>El mapa para marcar el domicilio abría en campo vacío.</t>
        </is>
      </c>
      <c r="F43" s="12" t="inlineStr">
        <is>
          <t>Alta</t>
        </is>
      </c>
      <c r="G43" s="12" t="inlineStr">
        <is>
          <t>Javier</t>
        </is>
      </c>
      <c r="H43" s="12" t="inlineStr">
        <is>
          <t>Realizado</t>
        </is>
      </c>
      <c r="I43" s="4" t="n">
        <v>46301</v>
      </c>
      <c r="J43" s="12" t="inlineStr">
        <is>
          <t>Abría a 118 km de San Salvador de Jujuy y había que arrastrarlo. Ahora abre sobre la ciudad y con zoom de calle.</t>
        </is>
      </c>
      <c r="K43" s="12" t="n"/>
    </row>
    <row r="44" ht="14.25" customHeight="1" s="11">
      <c r="A44" s="12" t="n">
        <v>43</v>
      </c>
      <c r="B44" s="4" t="n">
        <v>46301</v>
      </c>
      <c r="C44" s="12" t="inlineStr">
        <is>
          <t>Huascar</t>
        </is>
      </c>
      <c r="D44" s="12" t="inlineStr">
        <is>
          <t>Corrección</t>
        </is>
      </c>
      <c r="E44" s="12" t="inlineStr">
        <is>
          <t>La ficha del cliente se veía rota y los diálogos tapaban la pantalla en el celular.</t>
        </is>
      </c>
      <c r="F44" s="12" t="inlineStr">
        <is>
          <t>Alta</t>
        </is>
      </c>
      <c r="G44" s="12" t="inlineStr">
        <is>
          <t>Javier</t>
        </is>
      </c>
      <c r="H44" s="12" t="inlineStr">
        <is>
          <t>Realizado</t>
        </is>
      </c>
      <c r="I44" s="4" t="n">
        <v>46302</v>
      </c>
      <c r="J44" s="12" t="inlineStr">
        <is>
          <t>El diálogo del domicilio se pasaba de alto y no se podía ver qué se estaba guardando; la miniatura del mapa no respondía al toque; y el mapa quedaba por encima de los diálogos.</t>
        </is>
      </c>
      <c r="K44" s="12" t="n"/>
    </row>
    <row r="45" ht="14.25" customHeight="1" s="11">
      <c r="A45" s="12" t="n">
        <v>44</v>
      </c>
      <c r="B45" s="4" t="n">
        <v>46301</v>
      </c>
      <c r="C45" s="12" t="inlineStr">
        <is>
          <t>Huascar</t>
        </is>
      </c>
      <c r="D45" s="12" t="inlineStr">
        <is>
          <t>Corrección</t>
        </is>
      </c>
      <c r="E45" s="12" t="inlineStr">
        <is>
          <t>Los botones principales no llegaban al contraste mínimo de accesibilidad.</t>
        </is>
      </c>
      <c r="F45" s="12" t="inlineStr">
        <is>
          <t>Media</t>
        </is>
      </c>
      <c r="G45" s="12" t="inlineStr">
        <is>
          <t>Javier</t>
        </is>
      </c>
      <c r="H45" s="12" t="inlineStr">
        <is>
          <t>Realizado</t>
        </is>
      </c>
      <c r="I45" s="4" t="n">
        <v>46301</v>
      </c>
      <c r="J45" s="12" t="inlineStr">
        <is>
          <t>Se ajustaron los colores para cumplir el nivel AA, que es lo que se lee de verdad con el sol de frente.</t>
        </is>
      </c>
      <c r="K45" s="12" t="n"/>
    </row>
    <row r="46" ht="14.25" customHeight="1" s="11">
      <c r="A46" s="12" t="n">
        <v>45</v>
      </c>
      <c r="B46" s="4" t="n">
        <v>46302</v>
      </c>
      <c r="C46" s="12" t="inlineStr">
        <is>
          <t>Huascar</t>
        </is>
      </c>
      <c r="D46" s="12" t="inlineStr">
        <is>
          <t>Cambio de diseño</t>
        </is>
      </c>
      <c r="E46" s="12" t="inlineStr">
        <is>
          <t>Dejar tres pestañas en el Punto: Crear pedido, Pedidos y Clientes.</t>
        </is>
      </c>
      <c r="F46" s="12" t="inlineStr">
        <is>
          <t>Media</t>
        </is>
      </c>
      <c r="G46" s="12" t="inlineStr">
        <is>
          <t>Javier</t>
        </is>
      </c>
      <c r="H46" s="12" t="inlineStr">
        <is>
          <t>Realizado</t>
        </is>
      </c>
      <c r="I46" s="4" t="n">
        <v>46302</v>
      </c>
      <c r="J46" s="12" t="inlineStr">
        <is>
          <t>Se quitaron "Caja" y "Bidones". Caja se mira una vez al cerrar el día y ocupaba un cuarto de la barra; el dato sigue en el panel. Bidones listaba sólo a los que debían envases y pasó a ser la agenda completa de clientes, con buscador por nombre o teléfono, saldo de envases y fecha de la última entrega.</t>
        </is>
      </c>
      <c r="K46" s="12" t="n"/>
    </row>
    <row r="47" ht="14.25" customHeight="1" s="11">
      <c r="A47" s="12" t="n">
        <v>46</v>
      </c>
      <c r="B47" s="4" t="n">
        <v>46302</v>
      </c>
      <c r="C47" s="12" t="inlineStr">
        <is>
          <t>Huascar</t>
        </is>
      </c>
      <c r="D47" s="12" t="inlineStr">
        <is>
          <t>Nueva funcionalidad</t>
        </is>
      </c>
      <c r="E47" s="12" t="inlineStr">
        <is>
          <t>Poder corregir el nombre y el teléfono del cliente desde la calle.</t>
        </is>
      </c>
      <c r="F47" s="12" t="inlineStr">
        <is>
          <t>Media</t>
        </is>
      </c>
      <c r="G47" s="12" t="inlineStr">
        <is>
          <t>Javier</t>
        </is>
      </c>
      <c r="H47" s="12" t="inlineStr">
        <is>
          <t>Realizado</t>
        </is>
      </c>
      <c r="I47" s="4" t="n">
        <v>46302</v>
      </c>
      <c r="J47" s="12" t="inlineStr">
        <is>
          <t>Edición desde la agenda, con control de que el teléfono no sea de otro cliente. Hasta ahora había que entrar al CRM desde una computadora, así que no se corregía.</t>
        </is>
      </c>
      <c r="K47" s="12" t="n"/>
    </row>
    <row r="48" ht="14.25" customHeight="1" s="11">
      <c r="A48" s="12" t="n">
        <v>47</v>
      </c>
      <c r="B48" s="4" t="n">
        <v>46302</v>
      </c>
      <c r="C48" s="12" t="inlineStr">
        <is>
          <t>Huascar</t>
        </is>
      </c>
      <c r="D48" s="12" t="inlineStr">
        <is>
          <t>Corrección</t>
        </is>
      </c>
      <c r="E48" s="12" t="inlineStr">
        <is>
          <t>El historial de pedidos aparecía vacío.</t>
        </is>
      </c>
      <c r="F48" s="12" t="inlineStr">
        <is>
          <t>Alta</t>
        </is>
      </c>
      <c r="G48" s="12" t="inlineStr">
        <is>
          <t>Javier</t>
        </is>
      </c>
      <c r="H48" s="12" t="inlineStr">
        <is>
          <t>Realizado</t>
        </is>
      </c>
      <c r="I48" s="4" t="n">
        <v>46302</v>
      </c>
      <c r="J48" s="12" t="inlineStr">
        <is>
          <t>Mostraba sólo los pedidos propios del día, así que aparecía en blanco cada mañana y también para quien reparte lo que cargó otro. Ahora son todos los pedidos de la sucursal, separados por día y con filtro por rango de fechas.</t>
        </is>
      </c>
      <c r="K48" s="12" t="n"/>
    </row>
    <row r="49" ht="14.25" customHeight="1" s="11">
      <c r="A49" s="12" t="n">
        <v>48</v>
      </c>
      <c r="B49" s="4" t="n">
        <v>46302</v>
      </c>
      <c r="C49" s="12" t="inlineStr">
        <is>
          <t>Huascar</t>
        </is>
      </c>
      <c r="D49" s="12" t="inlineStr">
        <is>
          <t>Cambio de diseño</t>
        </is>
      </c>
      <c r="E49" s="12" t="inlineStr">
        <is>
          <t>Que el mensaje de bienvenida lleve el logo de la marca.</t>
        </is>
      </c>
      <c r="F49" s="12" t="inlineStr">
        <is>
          <t>Media</t>
        </is>
      </c>
      <c r="G49" s="12" t="inlineStr">
        <is>
          <t>Javier</t>
        </is>
      </c>
      <c r="H49" s="12" t="inlineStr">
        <is>
          <t>Realizado</t>
        </is>
      </c>
      <c r="I49" s="4" t="n">
        <v>46302</v>
      </c>
      <c r="J49" s="12" t="inlineStr">
        <is>
          <t>El logo viaja como encabezado de la plantilla. Se preparó el banner a partir del logo cuadrado, recortado a la proporción que usa WhatsApp.</t>
        </is>
      </c>
      <c r="K49" s="12" t="inlineStr">
        <is>
          <t>Falta crear en Meta la plantilla con encabezado de imagen y esperar su aprobación.</t>
        </is>
      </c>
    </row>
    <row r="50" ht="14.25" customHeight="1" s="11">
      <c r="A50" s="12" t="n">
        <v>49</v>
      </c>
      <c r="B50" s="4" t="n">
        <v>46302</v>
      </c>
      <c r="C50" s="12" t="inlineStr">
        <is>
          <t>Huascar</t>
        </is>
      </c>
      <c r="D50" s="12" t="inlineStr">
        <is>
          <t>Nueva funcionalidad</t>
        </is>
      </c>
      <c r="E50" s="12" t="inlineStr">
        <is>
          <t>Recordarle al cliente que agende su próximo pedido después de la última entrega.</t>
        </is>
      </c>
      <c r="F50" s="12" t="inlineStr">
        <is>
          <t>Alta</t>
        </is>
      </c>
      <c r="G50" s="12" t="inlineStr">
        <is>
          <t>Javier</t>
        </is>
      </c>
      <c r="H50" s="12" t="inlineStr">
        <is>
          <t>Realizado</t>
        </is>
      </c>
      <c r="I50" s="4" t="n">
        <v>46302</v>
      </c>
      <c r="J50" s="12" t="inlineStr">
        <is>
          <t>El momento se calcula con el ritmo de compra de cada cliente. Si dice que sí, el agente toma el pedido sin volver a pedirle el domicilio; si dice que no, se le vuelve a preguntar a los 2 días hasta 3 veces; si pide no recibir más, se corta. Interruptor por cliente y otro general, y contador de plantillas enviadas en el tablero.</t>
        </is>
      </c>
      <c r="K50" s="12" t="inlineStr">
        <is>
          <t>Código terminado y probado. No opera hasta que Meta apruebe la plantilla del recordatorio y exista el proceso programado en el servidor.</t>
        </is>
      </c>
    </row>
    <row r="51" ht="14.25" customHeight="1" s="11">
      <c r="A51" s="12" t="n">
        <v>50</v>
      </c>
      <c r="B51" s="4" t="n"/>
      <c r="C51" s="12" t="n"/>
      <c r="D51" s="12" t="n"/>
      <c r="E51" s="12" t="n"/>
      <c r="F51" s="12" t="n"/>
      <c r="G51" s="12" t="n"/>
      <c r="H51" s="12" t="n"/>
      <c r="I51" s="4" t="n"/>
      <c r="J51" s="12" t="n"/>
      <c r="K51" s="12" t="n"/>
    </row>
    <row r="52" ht="14.25" customHeight="1" s="11">
      <c r="A52" s="12" t="n">
        <v>51</v>
      </c>
      <c r="B52" s="4" t="n"/>
      <c r="C52" s="12" t="n"/>
      <c r="D52" s="12" t="n"/>
      <c r="E52" s="12" t="n"/>
      <c r="F52" s="12" t="n"/>
      <c r="G52" s="12" t="n"/>
      <c r="H52" s="12" t="n"/>
      <c r="I52" s="4" t="n"/>
      <c r="J52" s="12" t="n"/>
      <c r="K52" s="12" t="n"/>
    </row>
    <row r="53" ht="14.25" customHeight="1" s="11">
      <c r="A53" s="12" t="n">
        <v>52</v>
      </c>
      <c r="B53" s="4" t="n"/>
      <c r="C53" s="12" t="n"/>
      <c r="D53" s="12" t="n"/>
      <c r="E53" s="12" t="n"/>
      <c r="F53" s="12" t="n"/>
      <c r="G53" s="12" t="n"/>
      <c r="H53" s="12" t="n"/>
      <c r="I53" s="4" t="n"/>
      <c r="J53" s="12" t="n"/>
      <c r="K53" s="12" t="n"/>
    </row>
    <row r="54" ht="14.25" customHeight="1" s="11">
      <c r="A54" s="12" t="n">
        <v>53</v>
      </c>
      <c r="B54" s="4" t="n"/>
      <c r="C54" s="12" t="n"/>
      <c r="D54" s="12" t="n"/>
      <c r="E54" s="12" t="n"/>
      <c r="F54" s="12" t="n"/>
      <c r="G54" s="12" t="n"/>
      <c r="H54" s="12" t="n"/>
      <c r="I54" s="4" t="n"/>
      <c r="J54" s="12" t="n"/>
      <c r="K54" s="12" t="n"/>
    </row>
    <row r="55" ht="14.25" customHeight="1" s="11">
      <c r="A55" s="12" t="n">
        <v>54</v>
      </c>
      <c r="B55" s="4" t="n"/>
      <c r="C55" s="12" t="n"/>
      <c r="D55" s="12" t="n"/>
      <c r="E55" s="12" t="n"/>
      <c r="F55" s="12" t="n"/>
      <c r="G55" s="12" t="n"/>
      <c r="H55" s="12" t="n"/>
      <c r="I55" s="4" t="n"/>
      <c r="J55" s="12" t="n"/>
      <c r="K55" s="12" t="n"/>
    </row>
    <row r="56" ht="14.25" customHeight="1" s="11">
      <c r="A56" s="12" t="n">
        <v>55</v>
      </c>
      <c r="B56" s="4" t="n"/>
      <c r="C56" s="12" t="n"/>
      <c r="D56" s="12" t="n"/>
      <c r="E56" s="12" t="n"/>
      <c r="F56" s="12" t="n"/>
      <c r="G56" s="12" t="n"/>
      <c r="H56" s="12" t="n"/>
      <c r="I56" s="4" t="n"/>
      <c r="J56" s="12" t="n"/>
      <c r="K56" s="12" t="n"/>
    </row>
    <row r="57" ht="14.25" customHeight="1" s="11">
      <c r="A57" s="12" t="n">
        <v>56</v>
      </c>
      <c r="B57" s="4" t="n"/>
      <c r="C57" s="12" t="n"/>
      <c r="D57" s="12" t="n"/>
      <c r="E57" s="12" t="n"/>
      <c r="F57" s="12" t="n"/>
      <c r="G57" s="12" t="n"/>
      <c r="H57" s="12" t="n"/>
      <c r="I57" s="4" t="n"/>
      <c r="J57" s="12" t="n"/>
      <c r="K57" s="12" t="n"/>
    </row>
    <row r="58" ht="14.25" customHeight="1" s="11">
      <c r="A58" s="12" t="n">
        <v>57</v>
      </c>
      <c r="B58" s="4" t="n"/>
      <c r="C58" s="12" t="n"/>
      <c r="D58" s="12" t="n"/>
      <c r="E58" s="12" t="n"/>
      <c r="F58" s="12" t="n"/>
      <c r="G58" s="12" t="n"/>
      <c r="H58" s="12" t="n"/>
      <c r="I58" s="4" t="n"/>
      <c r="J58" s="12" t="n"/>
      <c r="K58" s="12" t="n"/>
    </row>
    <row r="59" ht="14.25" customHeight="1" s="11">
      <c r="A59" s="12" t="n">
        <v>58</v>
      </c>
      <c r="B59" s="4" t="n"/>
      <c r="C59" s="12" t="n"/>
      <c r="D59" s="12" t="n"/>
      <c r="E59" s="12" t="n"/>
      <c r="F59" s="12" t="n"/>
      <c r="G59" s="12" t="n"/>
      <c r="H59" s="12" t="n"/>
      <c r="I59" s="4" t="n"/>
      <c r="J59" s="12" t="n"/>
      <c r="K59" s="12" t="n"/>
    </row>
    <row r="60" ht="14.25" customHeight="1" s="11">
      <c r="A60" s="12" t="n">
        <v>59</v>
      </c>
      <c r="B60" s="4" t="n"/>
      <c r="C60" s="12" t="n"/>
      <c r="D60" s="12" t="n"/>
      <c r="E60" s="12" t="n"/>
      <c r="F60" s="12" t="n"/>
      <c r="G60" s="12" t="n"/>
      <c r="H60" s="12" t="n"/>
      <c r="I60" s="4" t="n"/>
      <c r="J60" s="12" t="n"/>
      <c r="K60" s="12" t="n"/>
    </row>
    <row r="61" ht="14.25" customHeight="1" s="11">
      <c r="A61" s="12" t="n">
        <v>60</v>
      </c>
      <c r="B61" s="4" t="n"/>
      <c r="C61" s="12" t="n"/>
      <c r="D61" s="12" t="n"/>
      <c r="E61" s="12" t="n"/>
      <c r="F61" s="12" t="n"/>
      <c r="G61" s="12" t="n"/>
      <c r="H61" s="12" t="n"/>
      <c r="I61" s="4" t="n"/>
      <c r="J61" s="12" t="n"/>
      <c r="K61" s="12" t="n"/>
    </row>
    <row r="62" ht="14.25" customHeight="1" s="11">
      <c r="A62" s="12" t="n">
        <v>61</v>
      </c>
      <c r="B62" s="4" t="n"/>
      <c r="C62" s="12" t="n"/>
      <c r="D62" s="12" t="n"/>
      <c r="E62" s="12" t="n"/>
      <c r="F62" s="12" t="n"/>
      <c r="G62" s="12" t="n"/>
      <c r="H62" s="12" t="n"/>
      <c r="I62" s="4" t="n"/>
      <c r="J62" s="12" t="n"/>
      <c r="K62" s="12" t="n"/>
    </row>
    <row r="63" ht="14.25" customHeight="1" s="11">
      <c r="A63" s="12" t="n">
        <v>62</v>
      </c>
      <c r="B63" s="4" t="n"/>
      <c r="C63" s="12" t="n"/>
      <c r="D63" s="12" t="n"/>
      <c r="E63" s="12" t="n"/>
      <c r="F63" s="12" t="n"/>
      <c r="G63" s="12" t="n"/>
      <c r="H63" s="12" t="n"/>
      <c r="I63" s="4" t="n"/>
      <c r="J63" s="12" t="n"/>
      <c r="K63" s="12" t="n"/>
    </row>
    <row r="64" ht="14.25" customHeight="1" s="11">
      <c r="A64" s="12" t="n">
        <v>63</v>
      </c>
      <c r="B64" s="4" t="n"/>
      <c r="C64" s="12" t="n"/>
      <c r="D64" s="12" t="n"/>
      <c r="E64" s="12" t="n"/>
      <c r="F64" s="12" t="n"/>
      <c r="G64" s="12" t="n"/>
      <c r="H64" s="12" t="n"/>
      <c r="I64" s="4" t="n"/>
      <c r="J64" s="12" t="n"/>
      <c r="K64" s="12" t="n"/>
    </row>
    <row r="65" ht="14.25" customHeight="1" s="11">
      <c r="A65" s="12" t="n">
        <v>64</v>
      </c>
      <c r="B65" s="4" t="n"/>
      <c r="C65" s="12" t="n"/>
      <c r="D65" s="12" t="n"/>
      <c r="E65" s="12" t="n"/>
      <c r="F65" s="12" t="n"/>
      <c r="G65" s="12" t="n"/>
      <c r="H65" s="12" t="n"/>
      <c r="I65" s="4" t="n"/>
      <c r="J65" s="12" t="n"/>
      <c r="K65" s="12" t="n"/>
    </row>
    <row r="66" ht="14.25" customHeight="1" s="11">
      <c r="A66" s="12" t="n">
        <v>65</v>
      </c>
      <c r="B66" s="4" t="n"/>
      <c r="C66" s="12" t="n"/>
      <c r="D66" s="12" t="n"/>
      <c r="E66" s="12" t="n"/>
      <c r="F66" s="12" t="n"/>
      <c r="G66" s="12" t="n"/>
      <c r="H66" s="12" t="n"/>
      <c r="I66" s="4" t="n"/>
      <c r="J66" s="12" t="n"/>
      <c r="K66" s="12" t="n"/>
    </row>
    <row r="67" ht="14.25" customHeight="1" s="11">
      <c r="A67" s="12" t="n">
        <v>66</v>
      </c>
      <c r="B67" s="4" t="n"/>
      <c r="C67" s="12" t="n"/>
      <c r="D67" s="12" t="n"/>
      <c r="E67" s="12" t="n"/>
      <c r="F67" s="12" t="n"/>
      <c r="G67" s="12" t="n"/>
      <c r="H67" s="12" t="n"/>
      <c r="I67" s="4" t="n"/>
      <c r="J67" s="12" t="n"/>
      <c r="K67" s="12" t="n"/>
    </row>
    <row r="68" ht="14.25" customHeight="1" s="11">
      <c r="A68" s="12" t="n">
        <v>67</v>
      </c>
      <c r="B68" s="4" t="n"/>
      <c r="C68" s="12" t="n"/>
      <c r="D68" s="12" t="n"/>
      <c r="E68" s="12" t="n"/>
      <c r="F68" s="12" t="n"/>
      <c r="G68" s="12" t="n"/>
      <c r="H68" s="12" t="n"/>
      <c r="I68" s="4" t="n"/>
      <c r="J68" s="12" t="n"/>
      <c r="K68" s="12" t="n"/>
    </row>
    <row r="69" ht="14.25" customHeight="1" s="11">
      <c r="A69" s="12" t="n">
        <v>68</v>
      </c>
      <c r="B69" s="4" t="n"/>
      <c r="C69" s="12" t="n"/>
      <c r="D69" s="12" t="n"/>
      <c r="E69" s="12" t="n"/>
      <c r="F69" s="12" t="n"/>
      <c r="G69" s="12" t="n"/>
      <c r="H69" s="12" t="n"/>
      <c r="I69" s="4" t="n"/>
      <c r="J69" s="12" t="n"/>
      <c r="K69" s="12" t="n"/>
    </row>
    <row r="70" ht="14.25" customHeight="1" s="11">
      <c r="A70" s="12" t="n">
        <v>69</v>
      </c>
      <c r="B70" s="4" t="n"/>
      <c r="C70" s="12" t="n"/>
      <c r="D70" s="12" t="n"/>
      <c r="E70" s="12" t="n"/>
      <c r="F70" s="12" t="n"/>
      <c r="G70" s="12" t="n"/>
      <c r="H70" s="12" t="n"/>
      <c r="I70" s="4" t="n"/>
      <c r="J70" s="12" t="n"/>
      <c r="K70" s="12" t="n"/>
    </row>
    <row r="71" ht="14.25" customHeight="1" s="11">
      <c r="A71" s="12" t="n">
        <v>70</v>
      </c>
      <c r="B71" s="4" t="n"/>
      <c r="C71" s="12" t="n"/>
      <c r="D71" s="12" t="n"/>
      <c r="E71" s="12" t="n"/>
      <c r="F71" s="12" t="n"/>
      <c r="G71" s="12" t="n"/>
      <c r="H71" s="12" t="n"/>
      <c r="I71" s="4" t="n"/>
      <c r="J71" s="12" t="n"/>
      <c r="K71" s="12" t="n"/>
    </row>
    <row r="72" ht="14.25" customHeight="1" s="11">
      <c r="A72" s="12" t="n">
        <v>71</v>
      </c>
      <c r="B72" s="4" t="n"/>
      <c r="C72" s="12" t="n"/>
      <c r="D72" s="12" t="n"/>
      <c r="E72" s="12" t="n"/>
      <c r="F72" s="12" t="n"/>
      <c r="G72" s="12" t="n"/>
      <c r="H72" s="12" t="n"/>
      <c r="I72" s="4" t="n"/>
      <c r="J72" s="12" t="n"/>
      <c r="K72" s="12" t="n"/>
    </row>
    <row r="73" ht="14.25" customHeight="1" s="11">
      <c r="A73" s="12" t="n">
        <v>72</v>
      </c>
      <c r="B73" s="4" t="n"/>
      <c r="C73" s="12" t="n"/>
      <c r="D73" s="12" t="n"/>
      <c r="E73" s="12" t="n"/>
      <c r="F73" s="12" t="n"/>
      <c r="G73" s="12" t="n"/>
      <c r="H73" s="12" t="n"/>
      <c r="I73" s="4" t="n"/>
      <c r="J73" s="12" t="n"/>
      <c r="K73" s="12" t="n"/>
    </row>
    <row r="74" ht="14.25" customHeight="1" s="11">
      <c r="A74" s="12" t="n">
        <v>73</v>
      </c>
      <c r="B74" s="4" t="n"/>
      <c r="C74" s="12" t="n"/>
      <c r="D74" s="12" t="n"/>
      <c r="E74" s="12" t="n"/>
      <c r="F74" s="12" t="n"/>
      <c r="G74" s="12" t="n"/>
      <c r="H74" s="12" t="n"/>
      <c r="I74" s="4" t="n"/>
      <c r="J74" s="12" t="n"/>
      <c r="K74" s="12" t="n"/>
    </row>
    <row r="75" ht="14.25" customHeight="1" s="11">
      <c r="A75" s="12" t="n">
        <v>74</v>
      </c>
      <c r="B75" s="4" t="n"/>
      <c r="C75" s="12" t="n"/>
      <c r="D75" s="12" t="n"/>
      <c r="E75" s="12" t="n"/>
      <c r="F75" s="12" t="n"/>
      <c r="G75" s="12" t="n"/>
      <c r="H75" s="12" t="n"/>
      <c r="I75" s="4" t="n"/>
      <c r="J75" s="12" t="n"/>
      <c r="K75" s="12" t="n"/>
    </row>
    <row r="76" ht="14.25" customHeight="1" s="11">
      <c r="A76" s="12" t="n">
        <v>75</v>
      </c>
      <c r="B76" s="4" t="n"/>
      <c r="C76" s="12" t="n"/>
      <c r="D76" s="12" t="n"/>
      <c r="E76" s="12" t="n"/>
      <c r="F76" s="12" t="n"/>
      <c r="G76" s="12" t="n"/>
      <c r="H76" s="12" t="n"/>
      <c r="I76" s="4" t="n"/>
      <c r="J76" s="12" t="n"/>
      <c r="K76" s="12" t="n"/>
    </row>
    <row r="77" ht="14.25" customHeight="1" s="11">
      <c r="A77" s="12" t="n">
        <v>76</v>
      </c>
      <c r="B77" s="4" t="n"/>
      <c r="C77" s="12" t="n"/>
      <c r="D77" s="12" t="n"/>
      <c r="E77" s="12" t="n"/>
      <c r="F77" s="12" t="n"/>
      <c r="G77" s="12" t="n"/>
      <c r="H77" s="12" t="n"/>
      <c r="I77" s="4" t="n"/>
      <c r="J77" s="12" t="n"/>
      <c r="K77" s="12" t="n"/>
    </row>
    <row r="78" ht="14.25" customHeight="1" s="11">
      <c r="A78" s="12" t="n">
        <v>77</v>
      </c>
      <c r="B78" s="4" t="n"/>
      <c r="C78" s="12" t="n"/>
      <c r="D78" s="12" t="n"/>
      <c r="E78" s="12" t="n"/>
      <c r="F78" s="12" t="n"/>
      <c r="G78" s="12" t="n"/>
      <c r="H78" s="12" t="n"/>
      <c r="I78" s="4" t="n"/>
      <c r="J78" s="12" t="n"/>
      <c r="K78" s="12" t="n"/>
    </row>
    <row r="79" ht="14.25" customHeight="1" s="11">
      <c r="A79" s="12" t="n">
        <v>78</v>
      </c>
      <c r="B79" s="4" t="n"/>
      <c r="C79" s="12" t="n"/>
      <c r="D79" s="12" t="n"/>
      <c r="E79" s="12" t="n"/>
      <c r="F79" s="12" t="n"/>
      <c r="G79" s="12" t="n"/>
      <c r="H79" s="12" t="n"/>
      <c r="I79" s="4" t="n"/>
      <c r="J79" s="12" t="n"/>
      <c r="K79" s="12" t="n"/>
    </row>
    <row r="80" ht="14.25" customHeight="1" s="11">
      <c r="A80" s="12" t="n">
        <v>79</v>
      </c>
      <c r="B80" s="4" t="n"/>
      <c r="C80" s="12" t="n"/>
      <c r="D80" s="12" t="n"/>
      <c r="E80" s="12" t="n"/>
      <c r="F80" s="12" t="n"/>
      <c r="G80" s="12" t="n"/>
      <c r="H80" s="12" t="n"/>
      <c r="I80" s="4" t="n"/>
      <c r="J80" s="12" t="n"/>
      <c r="K80" s="12" t="n"/>
    </row>
    <row r="81" ht="14.25" customHeight="1" s="11">
      <c r="A81" s="12" t="n">
        <v>80</v>
      </c>
      <c r="B81" s="4" t="n"/>
      <c r="C81" s="12" t="n"/>
      <c r="D81" s="12" t="n"/>
      <c r="E81" s="12" t="n"/>
      <c r="F81" s="12" t="n"/>
      <c r="G81" s="12" t="n"/>
      <c r="H81" s="12" t="n"/>
      <c r="I81" s="4" t="n"/>
      <c r="J81" s="12" t="n"/>
      <c r="K81" s="12" t="n"/>
    </row>
    <row r="82" ht="14.25" customHeight="1" s="11">
      <c r="A82" s="12" t="n">
        <v>81</v>
      </c>
      <c r="B82" s="4" t="n"/>
      <c r="C82" s="12" t="n"/>
      <c r="D82" s="12" t="n"/>
      <c r="E82" s="12" t="n"/>
      <c r="F82" s="12" t="n"/>
      <c r="G82" s="12" t="n"/>
      <c r="H82" s="12" t="n"/>
      <c r="I82" s="4" t="n"/>
      <c r="J82" s="12" t="n"/>
      <c r="K82" s="12" t="n"/>
    </row>
    <row r="83" ht="14.25" customHeight="1" s="11">
      <c r="A83" s="12" t="n">
        <v>82</v>
      </c>
      <c r="B83" s="4" t="n"/>
      <c r="C83" s="12" t="n"/>
      <c r="D83" s="12" t="n"/>
      <c r="E83" s="12" t="n"/>
      <c r="F83" s="12" t="n"/>
      <c r="G83" s="12" t="n"/>
      <c r="H83" s="12" t="n"/>
      <c r="I83" s="4" t="n"/>
      <c r="J83" s="12" t="n"/>
      <c r="K83" s="12" t="n"/>
    </row>
    <row r="84" ht="14.25" customHeight="1" s="11">
      <c r="A84" s="12" t="n">
        <v>83</v>
      </c>
      <c r="B84" s="4" t="n"/>
      <c r="C84" s="12" t="n"/>
      <c r="D84" s="12" t="n"/>
      <c r="E84" s="12" t="n"/>
      <c r="F84" s="12" t="n"/>
      <c r="G84" s="12" t="n"/>
      <c r="H84" s="12" t="n"/>
      <c r="I84" s="4" t="n"/>
      <c r="J84" s="12" t="n"/>
      <c r="K84" s="12" t="n"/>
    </row>
    <row r="85" ht="14.25" customHeight="1" s="11">
      <c r="A85" s="12" t="n">
        <v>84</v>
      </c>
      <c r="B85" s="4" t="n"/>
      <c r="C85" s="12" t="n"/>
      <c r="D85" s="12" t="n"/>
      <c r="E85" s="12" t="n"/>
      <c r="F85" s="12" t="n"/>
      <c r="G85" s="12" t="n"/>
      <c r="H85" s="12" t="n"/>
      <c r="I85" s="4" t="n"/>
      <c r="J85" s="12" t="n"/>
      <c r="K85" s="12" t="n"/>
    </row>
    <row r="86" ht="14.25" customHeight="1" s="11">
      <c r="A86" s="12" t="n">
        <v>85</v>
      </c>
      <c r="B86" s="4" t="n"/>
      <c r="C86" s="12" t="n"/>
      <c r="D86" s="12" t="n"/>
      <c r="E86" s="12" t="n"/>
      <c r="F86" s="12" t="n"/>
      <c r="G86" s="12" t="n"/>
      <c r="H86" s="12" t="n"/>
      <c r="I86" s="4" t="n"/>
      <c r="J86" s="12" t="n"/>
      <c r="K86" s="12" t="n"/>
    </row>
    <row r="87" ht="14.25" customHeight="1" s="11">
      <c r="A87" s="12" t="n">
        <v>86</v>
      </c>
      <c r="B87" s="4" t="n"/>
      <c r="C87" s="12" t="n"/>
      <c r="D87" s="12" t="n"/>
      <c r="E87" s="12" t="n"/>
      <c r="F87" s="12" t="n"/>
      <c r="G87" s="12" t="n"/>
      <c r="H87" s="12" t="n"/>
      <c r="I87" s="4" t="n"/>
      <c r="J87" s="12" t="n"/>
      <c r="K87" s="12" t="n"/>
    </row>
    <row r="88" ht="14.25" customHeight="1" s="11">
      <c r="A88" s="12" t="n">
        <v>87</v>
      </c>
      <c r="B88" s="4" t="n"/>
      <c r="C88" s="12" t="n"/>
      <c r="D88" s="12" t="n"/>
      <c r="E88" s="12" t="n"/>
      <c r="F88" s="12" t="n"/>
      <c r="G88" s="12" t="n"/>
      <c r="H88" s="12" t="n"/>
      <c r="I88" s="4" t="n"/>
      <c r="J88" s="12" t="n"/>
      <c r="K88" s="12" t="n"/>
    </row>
    <row r="89" ht="14.25" customHeight="1" s="11">
      <c r="A89" s="12" t="n">
        <v>88</v>
      </c>
      <c r="B89" s="4" t="n"/>
      <c r="C89" s="12" t="n"/>
      <c r="D89" s="12" t="n"/>
      <c r="E89" s="12" t="n"/>
      <c r="F89" s="12" t="n"/>
      <c r="G89" s="12" t="n"/>
      <c r="H89" s="12" t="n"/>
      <c r="I89" s="4" t="n"/>
      <c r="J89" s="12" t="n"/>
      <c r="K89" s="12" t="n"/>
    </row>
    <row r="90" ht="14.25" customHeight="1" s="11">
      <c r="A90" s="12" t="n">
        <v>89</v>
      </c>
      <c r="B90" s="4" t="n"/>
      <c r="C90" s="12" t="n"/>
      <c r="D90" s="12" t="n"/>
      <c r="E90" s="12" t="n"/>
      <c r="F90" s="12" t="n"/>
      <c r="G90" s="12" t="n"/>
      <c r="H90" s="12" t="n"/>
      <c r="I90" s="4" t="n"/>
      <c r="J90" s="12" t="n"/>
      <c r="K90" s="12" t="n"/>
    </row>
    <row r="91" ht="14.25" customHeight="1" s="11">
      <c r="A91" s="12" t="n">
        <v>90</v>
      </c>
      <c r="B91" s="4" t="n"/>
      <c r="C91" s="12" t="n"/>
      <c r="D91" s="12" t="n"/>
      <c r="E91" s="12" t="n"/>
      <c r="F91" s="12" t="n"/>
      <c r="G91" s="12" t="n"/>
      <c r="H91" s="12" t="n"/>
      <c r="I91" s="4" t="n"/>
      <c r="J91" s="12" t="n"/>
      <c r="K91" s="12" t="n"/>
    </row>
    <row r="92" ht="14.25" customHeight="1" s="11">
      <c r="A92" s="12" t="n">
        <v>91</v>
      </c>
      <c r="B92" s="4" t="n"/>
      <c r="C92" s="12" t="n"/>
      <c r="D92" s="12" t="n"/>
      <c r="E92" s="12" t="n"/>
      <c r="F92" s="12" t="n"/>
      <c r="G92" s="12" t="n"/>
      <c r="H92" s="12" t="n"/>
      <c r="I92" s="4" t="n"/>
      <c r="J92" s="12" t="n"/>
      <c r="K92" s="12" t="n"/>
    </row>
    <row r="93" ht="14.25" customHeight="1" s="11">
      <c r="A93" s="12" t="n">
        <v>92</v>
      </c>
      <c r="B93" s="4" t="n"/>
      <c r="C93" s="12" t="n"/>
      <c r="D93" s="12" t="n"/>
      <c r="E93" s="12" t="n"/>
      <c r="F93" s="12" t="n"/>
      <c r="G93" s="12" t="n"/>
      <c r="H93" s="12" t="n"/>
      <c r="I93" s="4" t="n"/>
      <c r="J93" s="12" t="n"/>
      <c r="K93" s="12" t="n"/>
    </row>
    <row r="94" ht="14.25" customHeight="1" s="11">
      <c r="A94" s="12" t="n">
        <v>93</v>
      </c>
      <c r="B94" s="4" t="n"/>
      <c r="C94" s="12" t="n"/>
      <c r="D94" s="12" t="n"/>
      <c r="E94" s="12" t="n"/>
      <c r="F94" s="12" t="n"/>
      <c r="G94" s="12" t="n"/>
      <c r="H94" s="12" t="n"/>
      <c r="I94" s="4" t="n"/>
      <c r="J94" s="12" t="n"/>
      <c r="K94" s="12" t="n"/>
    </row>
    <row r="95" ht="14.25" customHeight="1" s="11">
      <c r="A95" s="12" t="n">
        <v>94</v>
      </c>
      <c r="B95" s="4" t="n"/>
      <c r="C95" s="12" t="n"/>
      <c r="D95" s="12" t="n"/>
      <c r="E95" s="12" t="n"/>
      <c r="F95" s="12" t="n"/>
      <c r="G95" s="12" t="n"/>
      <c r="H95" s="12" t="n"/>
      <c r="I95" s="4" t="n"/>
      <c r="J95" s="12" t="n"/>
      <c r="K95" s="12" t="n"/>
    </row>
    <row r="96" ht="14.25" customHeight="1" s="11">
      <c r="A96" s="12" t="n">
        <v>95</v>
      </c>
      <c r="B96" s="4" t="n"/>
      <c r="C96" s="12" t="n"/>
      <c r="D96" s="12" t="n"/>
      <c r="E96" s="12" t="n"/>
      <c r="F96" s="12" t="n"/>
      <c r="G96" s="12" t="n"/>
      <c r="H96" s="12" t="n"/>
      <c r="I96" s="4" t="n"/>
      <c r="J96" s="12" t="n"/>
      <c r="K96" s="12" t="n"/>
    </row>
    <row r="97" ht="14.25" customHeight="1" s="11">
      <c r="A97" s="12" t="n">
        <v>96</v>
      </c>
      <c r="B97" s="4" t="n"/>
      <c r="C97" s="12" t="n"/>
      <c r="D97" s="12" t="n"/>
      <c r="E97" s="12" t="n"/>
      <c r="F97" s="12" t="n"/>
      <c r="G97" s="12" t="n"/>
      <c r="H97" s="12" t="n"/>
      <c r="I97" s="4" t="n"/>
      <c r="J97" s="12" t="n"/>
      <c r="K97" s="12" t="n"/>
    </row>
    <row r="98" ht="14.25" customHeight="1" s="11">
      <c r="A98" s="12" t="n">
        <v>97</v>
      </c>
      <c r="B98" s="4" t="n"/>
      <c r="C98" s="12" t="n"/>
      <c r="D98" s="12" t="n"/>
      <c r="E98" s="12" t="n"/>
      <c r="F98" s="12" t="n"/>
      <c r="G98" s="12" t="n"/>
      <c r="H98" s="12" t="n"/>
      <c r="I98" s="4" t="n"/>
      <c r="J98" s="12" t="n"/>
      <c r="K98" s="12" t="n"/>
    </row>
    <row r="99" ht="14.25" customHeight="1" s="11">
      <c r="A99" s="12" t="n">
        <v>98</v>
      </c>
      <c r="B99" s="4" t="n"/>
      <c r="C99" s="12" t="n"/>
      <c r="D99" s="12" t="n"/>
      <c r="E99" s="12" t="n"/>
      <c r="F99" s="12" t="n"/>
      <c r="G99" s="12" t="n"/>
      <c r="H99" s="12" t="n"/>
      <c r="I99" s="4" t="n"/>
      <c r="J99" s="12" t="n"/>
      <c r="K99" s="12" t="n"/>
    </row>
    <row r="100" ht="14.25" customHeight="1" s="11">
      <c r="A100" s="12" t="n">
        <v>99</v>
      </c>
      <c r="B100" s="4" t="n"/>
      <c r="C100" s="12" t="n"/>
      <c r="D100" s="12" t="n"/>
      <c r="E100" s="12" t="n"/>
      <c r="F100" s="12" t="n"/>
      <c r="G100" s="12" t="n"/>
      <c r="H100" s="12" t="n"/>
      <c r="I100" s="4" t="n"/>
      <c r="J100" s="12" t="n"/>
      <c r="K100" s="12" t="n"/>
    </row>
    <row r="101" ht="14.25" customHeight="1" s="11">
      <c r="A101" s="12" t="n">
        <v>100</v>
      </c>
      <c r="B101" s="4" t="n"/>
      <c r="C101" s="12" t="n"/>
      <c r="D101" s="12" t="n"/>
      <c r="E101" s="12" t="n"/>
      <c r="F101" s="12" t="n"/>
      <c r="G101" s="12" t="n"/>
      <c r="H101" s="12" t="n"/>
      <c r="I101" s="4" t="n"/>
      <c r="J101" s="12" t="n"/>
      <c r="K101" s="12" t="n"/>
    </row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autoFilter ref="$A$1:$K$101"/>
  <dataValidations count="3">
    <dataValidation sqref="D2:D101" showDropDown="0" showInputMessage="0" showErrorMessage="0" allowBlank="0" type="list">
      <formula1>"Corrección,Cambio de texto,Cambio de diseño,Nueva funcionalidad,Configuración,Integración,Contenido,Otro"</formula1>
    </dataValidation>
    <dataValidation sqref="H2:H101" showDropDown="0" showInputMessage="0" showErrorMessage="0" allowBlank="0" type="list">
      <formula1>"Pendiente,En revisión,En desarrollo,Realizado,Validado,Rechazado"</formula1>
    </dataValidation>
    <dataValidation sqref="F2:F101" showDropDown="0" showInputMessage="0" showErrorMessage="0" allowBlank="0" type="list">
      <formula1>"Alta,Media,Baja"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4.43" defaultRowHeight="15" customHeight="1"/>
  <cols>
    <col width="65" customWidth="1" style="11" min="1" max="1"/>
    <col width="18" customWidth="1" style="11" min="2" max="4"/>
    <col width="8.859999999999999" customWidth="1" style="11" min="5" max="26"/>
  </cols>
  <sheetData>
    <row r="1" ht="14.25" customHeight="1" s="11">
      <c r="A1" s="6" t="inlineStr">
        <is>
          <t>CONTROL DE AJUSTES - SENSIA</t>
        </is>
      </c>
    </row>
    <row r="2" ht="14.25" customHeight="1" s="11"/>
    <row r="3" ht="14.25" customHeight="1" s="11">
      <c r="A3" s="7" t="inlineStr">
        <is>
          <t>Indicador</t>
        </is>
      </c>
      <c r="B3" s="7" t="inlineStr">
        <is>
          <t>Cantidad</t>
        </is>
      </c>
    </row>
    <row r="4" ht="14.25" customHeight="1" s="11">
      <c r="A4" s="8" t="inlineStr">
        <is>
          <t>Total de solicitudes</t>
        </is>
      </c>
      <c r="B4" s="8">
        <f>COUNTA('Seguimiento de Ajustes'!A2:A101)</f>
        <v/>
      </c>
    </row>
    <row r="5" ht="14.25" customHeight="1" s="11">
      <c r="A5" s="8" t="inlineStr">
        <is>
          <t>Pendientes</t>
        </is>
      </c>
      <c r="B5" s="8">
        <f>COUNTIF('Seguimiento de Ajustes'!H2:H101,"Pendiente")</f>
        <v/>
      </c>
    </row>
    <row r="6" ht="14.25" customHeight="1" s="11">
      <c r="A6" s="8" t="inlineStr">
        <is>
          <t>En revisión</t>
        </is>
      </c>
      <c r="B6" s="8">
        <f>COUNTIF('Seguimiento de Ajustes'!H2:H101,"En revisión")</f>
        <v/>
      </c>
    </row>
    <row r="7" ht="14.25" customHeight="1" s="11">
      <c r="A7" s="8" t="inlineStr">
        <is>
          <t>En desarrollo</t>
        </is>
      </c>
      <c r="B7" s="8">
        <f>COUNTIF('Seguimiento de Ajustes'!H2:H101,"En desarrollo")</f>
        <v/>
      </c>
    </row>
    <row r="8" ht="14.25" customHeight="1" s="11">
      <c r="A8" s="8" t="inlineStr">
        <is>
          <t>Realizados</t>
        </is>
      </c>
      <c r="B8" s="8">
        <f>COUNTIF('Seguimiento de Ajustes'!H2:H101,"Realizado")</f>
        <v/>
      </c>
    </row>
    <row r="9" ht="14.25" customHeight="1" s="11">
      <c r="A9" s="8" t="inlineStr">
        <is>
          <t>Validados</t>
        </is>
      </c>
      <c r="B9" s="8">
        <f>COUNTIF('Seguimiento de Ajustes'!H2:H101,"Validado")</f>
        <v/>
      </c>
    </row>
    <row r="10" ht="14.25" customHeight="1" s="11">
      <c r="A10" s="8" t="inlineStr">
        <is>
          <t>Alta prioridad</t>
        </is>
      </c>
      <c r="B10" s="8">
        <f>COUNTIF('Seguimiento de Ajustes'!F2:F101,"Alta")</f>
        <v/>
      </c>
    </row>
    <row r="11" ht="14.25" customHeight="1" s="11"/>
    <row r="12" ht="14.25" customHeight="1" s="11"/>
    <row r="13" ht="14.25" customHeight="1" s="11">
      <c r="A13" s="9" t="inlineStr">
        <is>
          <t>Cómo utilizar la planilla</t>
        </is>
      </c>
    </row>
    <row r="14" ht="14.25" customHeight="1" s="11">
      <c r="A14" s="10" t="inlineStr">
        <is>
          <t>1. Registrar cada pedido de ajuste recibido de SENSIA en una fila.</t>
        </is>
      </c>
    </row>
    <row r="15" ht="14.25" customHeight="1" s="11">
      <c r="A15" s="10" t="inlineStr">
        <is>
          <t>2. Indicar la fecha de solicitud; el día se completa automáticamente.</t>
        </is>
      </c>
    </row>
    <row r="16" ht="14.25" customHeight="1" s="11">
      <c r="A16" s="10" t="inlineStr">
        <is>
          <t>3. Detallar exactamente qué pidió el cliente.</t>
        </is>
      </c>
    </row>
    <row r="17" ht="14.25" customHeight="1" s="11">
      <c r="A17" s="10" t="inlineStr">
        <is>
          <t>4. Asignar prioridad, responsable y fecha compromiso.</t>
        </is>
      </c>
    </row>
    <row r="18" ht="14.25" customHeight="1" s="11">
      <c r="A18" s="10" t="inlineStr">
        <is>
          <t>5. Cuando se complete, registrar fecha y detalle de lo realizado.</t>
        </is>
      </c>
    </row>
    <row r="19" ht="14.25" customHeight="1" s="11">
      <c r="A19" s="10" t="inlineStr">
        <is>
          <t>6. Cambiar el estado a 'Validado' cuando el cliente confirme que el ajuste está correcto.</t>
        </is>
      </c>
    </row>
    <row r="20" ht="14.25" customHeight="1" s="11">
      <c r="A20" s="10" t="inlineStr">
        <is>
          <t>7. Agregar link o referencia de evidencia cuando corresponda.</t>
        </is>
      </c>
    </row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mergeCells count="7">
    <mergeCell ref="A17:D17"/>
    <mergeCell ref="A18:D18"/>
    <mergeCell ref="A20:D20"/>
    <mergeCell ref="A15:D15"/>
    <mergeCell ref="A16:D16"/>
    <mergeCell ref="A19:D19"/>
    <mergeCell ref="A14:D1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11" min="1" max="26"/>
  </cols>
  <sheetData>
    <row r="1" ht="14.25" customHeight="1" s="11">
      <c r="A1" s="7" t="inlineStr">
        <is>
          <t>Prioridad</t>
        </is>
      </c>
      <c r="B1" s="7" t="inlineStr">
        <is>
          <t>Estado</t>
        </is>
      </c>
      <c r="C1" s="7" t="inlineStr">
        <is>
          <t>Tipo de ajuste</t>
        </is>
      </c>
    </row>
    <row r="2" ht="14.25" customHeight="1" s="11">
      <c r="A2" s="8" t="inlineStr">
        <is>
          <t>Alta</t>
        </is>
      </c>
      <c r="B2" s="8" t="inlineStr">
        <is>
          <t>Pendiente</t>
        </is>
      </c>
      <c r="C2" s="8" t="inlineStr">
        <is>
          <t>Corrección</t>
        </is>
      </c>
    </row>
    <row r="3" ht="14.25" customHeight="1" s="11">
      <c r="A3" s="8" t="inlineStr">
        <is>
          <t>Media</t>
        </is>
      </c>
      <c r="B3" s="8" t="inlineStr">
        <is>
          <t>En revisión</t>
        </is>
      </c>
      <c r="C3" s="8" t="inlineStr">
        <is>
          <t>Cambio de texto</t>
        </is>
      </c>
    </row>
    <row r="4" ht="14.25" customHeight="1" s="11">
      <c r="A4" s="8" t="inlineStr">
        <is>
          <t>Baja</t>
        </is>
      </c>
      <c r="B4" s="8" t="inlineStr">
        <is>
          <t>En desarrollo</t>
        </is>
      </c>
      <c r="C4" s="8" t="inlineStr">
        <is>
          <t>Cambio de diseño</t>
        </is>
      </c>
    </row>
    <row r="5" ht="14.25" customHeight="1" s="11">
      <c r="B5" s="8" t="inlineStr">
        <is>
          <t>Realizado</t>
        </is>
      </c>
      <c r="C5" s="8" t="inlineStr">
        <is>
          <t>Nueva funcionalidad</t>
        </is>
      </c>
    </row>
    <row r="6" ht="14.25" customHeight="1" s="11">
      <c r="B6" s="8" t="inlineStr">
        <is>
          <t>Validado</t>
        </is>
      </c>
      <c r="C6" s="8" t="inlineStr">
        <is>
          <t>Configuración</t>
        </is>
      </c>
    </row>
    <row r="7" ht="14.25" customHeight="1" s="11">
      <c r="B7" s="8" t="inlineStr">
        <is>
          <t>Rechazado</t>
        </is>
      </c>
      <c r="C7" s="8" t="inlineStr">
        <is>
          <t>Integración</t>
        </is>
      </c>
    </row>
    <row r="8" ht="14.25" customHeight="1" s="11">
      <c r="C8" s="8" t="inlineStr">
        <is>
          <t>Contenido</t>
        </is>
      </c>
    </row>
    <row r="9" ht="14.25" customHeight="1" s="11">
      <c r="C9" s="8" t="inlineStr">
        <is>
          <t>Otro</t>
        </is>
      </c>
    </row>
    <row r="10" ht="14.25" customHeight="1" s="11"/>
    <row r="11" ht="14.25" customHeight="1" s="11"/>
    <row r="12" ht="14.25" customHeight="1" s="11"/>
    <row r="13" ht="14.25" customHeight="1" s="11"/>
    <row r="14" ht="14.25" customHeight="1" s="11"/>
    <row r="15" ht="14.25" customHeight="1" s="11"/>
    <row r="16" ht="14.25" customHeight="1" s="11"/>
    <row r="17" ht="14.25" customHeight="1" s="11"/>
    <row r="18" ht="14.25" customHeight="1" s="11"/>
    <row r="19" ht="14.25" customHeight="1" s="11"/>
    <row r="20" ht="14.25" customHeight="1" s="11"/>
    <row r="21" ht="14.25" customHeight="1" s="11"/>
    <row r="22" ht="14.25" customHeight="1" s="11"/>
    <row r="23" ht="14.25" customHeight="1" s="11"/>
    <row r="24" ht="14.25" customHeight="1" s="11"/>
    <row r="25" ht="14.25" customHeight="1" s="11"/>
    <row r="26" ht="14.25" customHeight="1" s="11"/>
    <row r="27" ht="14.25" customHeight="1" s="11"/>
    <row r="28" ht="14.25" customHeight="1" s="11"/>
    <row r="29" ht="14.25" customHeight="1" s="11"/>
    <row r="30" ht="14.25" customHeight="1" s="11"/>
    <row r="31" ht="14.25" customHeight="1" s="11"/>
    <row r="32" ht="14.25" customHeight="1" s="11"/>
    <row r="33" ht="14.25" customHeight="1" s="11"/>
    <row r="34" ht="14.25" customHeight="1" s="11"/>
    <row r="35" ht="14.25" customHeight="1" s="11"/>
    <row r="36" ht="14.25" customHeight="1" s="11"/>
    <row r="37" ht="14.25" customHeight="1" s="11"/>
    <row r="38" ht="14.25" customHeight="1" s="11"/>
    <row r="39" ht="14.25" customHeight="1" s="11"/>
    <row r="40" ht="14.25" customHeight="1" s="11"/>
    <row r="41" ht="14.25" customHeight="1" s="11"/>
    <row r="42" ht="14.25" customHeight="1" s="11"/>
    <row r="43" ht="14.25" customHeight="1" s="11"/>
    <row r="44" ht="14.25" customHeight="1" s="11"/>
    <row r="45" ht="14.25" customHeight="1" s="11"/>
    <row r="46" ht="14.25" customHeight="1" s="11"/>
    <row r="47" ht="14.25" customHeight="1" s="11"/>
    <row r="48" ht="14.25" customHeight="1" s="11"/>
    <row r="49" ht="14.25" customHeight="1" s="11"/>
    <row r="50" ht="14.25" customHeight="1" s="11"/>
    <row r="51" ht="14.25" customHeight="1" s="11"/>
    <row r="52" ht="14.25" customHeight="1" s="11"/>
    <row r="53" ht="14.25" customHeight="1" s="11"/>
    <row r="54" ht="14.25" customHeight="1" s="11"/>
    <row r="55" ht="14.25" customHeight="1" s="11"/>
    <row r="56" ht="14.25" customHeight="1" s="11"/>
    <row r="57" ht="14.25" customHeight="1" s="11"/>
    <row r="58" ht="14.25" customHeight="1" s="11"/>
    <row r="59" ht="14.25" customHeight="1" s="11"/>
    <row r="60" ht="14.25" customHeight="1" s="11"/>
    <row r="61" ht="14.25" customHeight="1" s="11"/>
    <row r="62" ht="14.25" customHeight="1" s="11"/>
    <row r="63" ht="14.25" customHeight="1" s="11"/>
    <row r="64" ht="14.25" customHeight="1" s="11"/>
    <row r="65" ht="14.25" customHeight="1" s="11"/>
    <row r="66" ht="14.25" customHeight="1" s="11"/>
    <row r="67" ht="14.25" customHeight="1" s="11"/>
    <row r="68" ht="14.25" customHeight="1" s="11"/>
    <row r="69" ht="14.25" customHeight="1" s="11"/>
    <row r="70" ht="14.25" customHeight="1" s="11"/>
    <row r="71" ht="14.25" customHeight="1" s="11"/>
    <row r="72" ht="14.25" customHeight="1" s="11"/>
    <row r="73" ht="14.25" customHeight="1" s="11"/>
    <row r="74" ht="14.25" customHeight="1" s="11"/>
    <row r="75" ht="14.25" customHeight="1" s="11"/>
    <row r="76" ht="14.25" customHeight="1" s="11"/>
    <row r="77" ht="14.25" customHeight="1" s="11"/>
    <row r="78" ht="14.25" customHeight="1" s="11"/>
    <row r="79" ht="14.25" customHeight="1" s="11"/>
    <row r="80" ht="14.25" customHeight="1" s="11"/>
    <row r="81" ht="14.25" customHeight="1" s="11"/>
    <row r="82" ht="14.25" customHeight="1" s="11"/>
    <row r="83" ht="14.25" customHeight="1" s="11"/>
    <row r="84" ht="14.25" customHeight="1" s="11"/>
    <row r="85" ht="14.25" customHeight="1" s="11"/>
    <row r="86" ht="14.25" customHeight="1" s="11"/>
    <row r="87" ht="14.25" customHeight="1" s="11"/>
    <row r="88" ht="14.25" customHeight="1" s="11"/>
    <row r="89" ht="14.25" customHeight="1" s="11"/>
    <row r="90" ht="14.25" customHeight="1" s="11"/>
    <row r="91" ht="14.25" customHeight="1" s="11"/>
    <row r="92" ht="14.25" customHeight="1" s="11"/>
    <row r="93" ht="14.25" customHeight="1" s="11"/>
    <row r="94" ht="14.25" customHeight="1" s="11"/>
    <row r="95" ht="14.25" customHeight="1" s="11"/>
    <row r="96" ht="14.25" customHeight="1" s="11"/>
    <row r="97" ht="14.25" customHeight="1" s="11"/>
    <row r="98" ht="14.25" customHeight="1" s="11"/>
    <row r="99" ht="14.25" customHeight="1" s="11"/>
    <row r="100" ht="14.25" customHeight="1" s="11"/>
    <row r="101" ht="14.25" customHeight="1" s="11"/>
    <row r="102" ht="14.25" customHeight="1" s="11"/>
    <row r="103" ht="14.25" customHeight="1" s="11"/>
    <row r="104" ht="14.25" customHeight="1" s="11"/>
    <row r="105" ht="14.25" customHeight="1" s="11"/>
    <row r="106" ht="14.25" customHeight="1" s="11"/>
    <row r="107" ht="14.25" customHeight="1" s="11"/>
    <row r="108" ht="14.25" customHeight="1" s="11"/>
    <row r="109" ht="14.25" customHeight="1" s="11"/>
    <row r="110" ht="14.25" customHeight="1" s="11"/>
    <row r="111" ht="14.25" customHeight="1" s="11"/>
    <row r="112" ht="14.25" customHeight="1" s="11"/>
    <row r="113" ht="14.25" customHeight="1" s="11"/>
    <row r="114" ht="14.25" customHeight="1" s="11"/>
    <row r="115" ht="14.25" customHeight="1" s="11"/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  <row r="965" ht="14.25" customHeight="1" s="11"/>
    <row r="966" ht="14.25" customHeight="1" s="11"/>
    <row r="967" ht="14.25" customHeight="1" s="11"/>
    <row r="968" ht="14.25" customHeight="1" s="11"/>
    <row r="969" ht="14.25" customHeight="1" s="11"/>
    <row r="970" ht="14.25" customHeight="1" s="11"/>
    <row r="971" ht="14.25" customHeight="1" s="11"/>
    <row r="972" ht="14.25" customHeight="1" s="11"/>
    <row r="973" ht="14.25" customHeight="1" s="11"/>
    <row r="974" ht="14.25" customHeight="1" s="11"/>
    <row r="975" ht="14.25" customHeight="1" s="11"/>
    <row r="976" ht="14.25" customHeight="1" s="11"/>
    <row r="977" ht="14.25" customHeight="1" s="11"/>
    <row r="978" ht="14.25" customHeight="1" s="11"/>
    <row r="979" ht="14.25" customHeight="1" s="11"/>
    <row r="980" ht="14.25" customHeight="1" s="11"/>
    <row r="981" ht="14.25" customHeight="1" s="11"/>
    <row r="982" ht="14.25" customHeight="1" s="11"/>
    <row r="983" ht="14.25" customHeight="1" s="11"/>
    <row r="984" ht="14.25" customHeight="1" s="11"/>
    <row r="985" ht="14.25" customHeight="1" s="11"/>
    <row r="986" ht="14.25" customHeight="1" s="11"/>
    <row r="987" ht="14.25" customHeight="1" s="11"/>
    <row r="988" ht="14.25" customHeight="1" s="11"/>
    <row r="989" ht="14.25" customHeight="1" s="11"/>
    <row r="990" ht="14.25" customHeight="1" s="11"/>
    <row r="991" ht="14.25" customHeight="1" s="11"/>
    <row r="992" ht="14.25" customHeight="1" s="11"/>
    <row r="993" ht="14.25" customHeight="1" s="11"/>
    <row r="994" ht="14.25" customHeight="1" s="11"/>
    <row r="995" ht="14.25" customHeight="1" s="11"/>
    <row r="996" ht="14.25" customHeight="1" s="11"/>
    <row r="997" ht="14.25" customHeight="1" s="11"/>
    <row r="998" ht="14.25" customHeight="1" s="11"/>
    <row r="999" ht="14.25" customHeight="1" s="11"/>
    <row r="1000" ht="14.2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2026-10-08T16:26:18Z</dcterms:created>
  <dcterms:modified xmlns:dcterms="http://purl.org/dc/terms/" xmlns:xsi="http://www.w3.org/2001/XMLSchema-instance" xsi:type="dcterms:W3CDTF">2026-10-09T12:51:38+00:00Z</dcterms:modified>
</cp:coreProperties>
</file>